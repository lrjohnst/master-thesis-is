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ucasjohnston.sharepoint.com/sites/Personal/Gedeelde documenten/Studie/[15] Master Thesis/[H] Requirements Elicitation/Analysis/"/>
    </mc:Choice>
  </mc:AlternateContent>
  <xr:revisionPtr revIDLastSave="5" documentId="13_ncr:1_{AF998282-6324-4410-89D0-D1A4B06A300B}" xr6:coauthVersionLast="47" xr6:coauthVersionMax="47" xr10:uidLastSave="{BDE41676-338E-4BAF-867A-D3981C8085B5}"/>
  <bookViews>
    <workbookView xWindow="-108" yWindow="-108" windowWidth="23256" windowHeight="12456" activeTab="1" xr2:uid="{AA7D1B8E-8831-4893-8797-D816D84882B1}"/>
  </bookViews>
  <sheets>
    <sheet name="The Data" sheetId="1" r:id="rId1"/>
    <sheet name="Overall Correlations" sheetId="3" r:id="rId2"/>
    <sheet name="Sample Sizes" sheetId="4" r:id="rId3"/>
    <sheet name="CIs" sheetId="6" r:id="rId4"/>
  </sheets>
  <definedNames>
    <definedName name="bad_instructions">'The Data'!$N:$N</definedName>
    <definedName name="behavior_lane_position">'The Data'!$J:$J</definedName>
    <definedName name="behavior_less_speed">'The Data'!$H:$H</definedName>
    <definedName name="behavior_more_speed">'The Data'!$G:$G</definedName>
    <definedName name="behavior_operating_errors">'The Data'!$M:$M</definedName>
    <definedName name="behavior_reaction_time">'The Data'!$K:$K</definedName>
    <definedName name="behavior_speed_control">'The Data'!$I:$I</definedName>
    <definedName name="behavior_wrong_turns">'The Data'!$L:$L</definedName>
    <definedName name="distraction_awareness">'The Data'!$B:$B</definedName>
    <definedName name="distraction_glance_duration">'The Data'!$F:$F</definedName>
    <definedName name="distraction_glance_frequency">'The Data'!$E:$E</definedName>
    <definedName name="distraction_manual">'The Data'!$A:$A</definedName>
    <definedName name="distraction_mental_load">'The Data'!$D:$D</definedName>
    <definedName name="distraction_shift_focus">'The Data'!$C:$C</definedName>
    <definedName name="interruptions">'The Data'!$O:$O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K4" i="4"/>
  <c r="L8" i="4"/>
  <c r="D2" i="4"/>
  <c r="K5" i="4"/>
  <c r="O2" i="4"/>
  <c r="J3" i="4"/>
  <c r="N4" i="4"/>
  <c r="N3" i="4"/>
  <c r="H5" i="4"/>
  <c r="N10" i="4"/>
  <c r="D3" i="4"/>
  <c r="O6" i="4"/>
  <c r="M5" i="4"/>
  <c r="K7" i="4"/>
  <c r="O7" i="4"/>
  <c r="H6" i="4"/>
  <c r="N13" i="4"/>
  <c r="M11" i="4"/>
  <c r="I3" i="4"/>
  <c r="J6" i="4"/>
  <c r="O10" i="4"/>
  <c r="H3" i="4"/>
  <c r="L10" i="4"/>
  <c r="H2" i="4"/>
  <c r="P12" i="4"/>
  <c r="P2" i="4"/>
  <c r="O4" i="4"/>
  <c r="L9" i="4"/>
  <c r="P4" i="4"/>
  <c r="E3" i="4"/>
  <c r="P8" i="4"/>
  <c r="N8" i="4"/>
  <c r="J2" i="4"/>
  <c r="F5" i="4"/>
  <c r="J4" i="4"/>
  <c r="H4" i="4"/>
  <c r="N9" i="4"/>
  <c r="K9" i="4"/>
  <c r="K8" i="4"/>
  <c r="M9" i="4"/>
  <c r="P3" i="4"/>
  <c r="O5" i="4"/>
  <c r="J5" i="4"/>
  <c r="G2" i="4"/>
  <c r="M6" i="4"/>
  <c r="P6" i="4"/>
  <c r="M12" i="4"/>
  <c r="O13" i="4"/>
  <c r="G4" i="4"/>
  <c r="J9" i="4"/>
  <c r="L6" i="4"/>
  <c r="L7" i="4"/>
  <c r="C2" i="4"/>
  <c r="O8" i="4"/>
  <c r="P5" i="4"/>
  <c r="M4" i="4"/>
  <c r="L3" i="4"/>
  <c r="K10" i="4"/>
  <c r="F4" i="4"/>
  <c r="N12" i="4"/>
  <c r="I6" i="4"/>
  <c r="L11" i="4"/>
  <c r="K3" i="4"/>
  <c r="H7" i="4"/>
  <c r="I8" i="4"/>
  <c r="J8" i="4"/>
  <c r="N6" i="4"/>
  <c r="P13" i="4"/>
  <c r="O14" i="4"/>
  <c r="P14" i="4"/>
  <c r="P7" i="4"/>
  <c r="G3" i="4"/>
  <c r="M7" i="4"/>
  <c r="F2" i="4"/>
  <c r="L4" i="4"/>
  <c r="L2" i="4"/>
  <c r="J7" i="4"/>
  <c r="P15" i="4"/>
  <c r="F3" i="4"/>
  <c r="O9" i="4"/>
  <c r="M2" i="4"/>
  <c r="K2" i="4"/>
  <c r="N7" i="4"/>
  <c r="K6" i="4"/>
  <c r="G6" i="4"/>
  <c r="N2" i="4"/>
  <c r="P11" i="4"/>
  <c r="M10" i="4"/>
  <c r="L5" i="4"/>
  <c r="E2" i="4"/>
  <c r="O3" i="4"/>
  <c r="O11" i="4"/>
  <c r="M8" i="4"/>
  <c r="P10" i="4"/>
  <c r="I5" i="4"/>
  <c r="I4" i="4"/>
  <c r="M3" i="4"/>
  <c r="G5" i="4"/>
  <c r="N11" i="4"/>
  <c r="P9" i="4"/>
  <c r="I7" i="4"/>
  <c r="I2" i="4"/>
  <c r="E4" i="4"/>
  <c r="N5" i="4"/>
  <c r="O12" i="4"/>
  <c r="O13" i="3" l="1"/>
  <c r="N13" i="3"/>
  <c r="O14" i="3"/>
  <c r="O12" i="3"/>
  <c r="N12" i="3"/>
  <c r="M12" i="3"/>
  <c r="O11" i="3"/>
  <c r="N11" i="3"/>
  <c r="M11" i="3"/>
  <c r="L11" i="3"/>
  <c r="O10" i="3"/>
  <c r="N10" i="3"/>
  <c r="M10" i="3"/>
  <c r="L10" i="3"/>
  <c r="K10" i="3"/>
  <c r="O9" i="3"/>
  <c r="N9" i="3"/>
  <c r="M9" i="3"/>
  <c r="L9" i="3"/>
  <c r="K9" i="3"/>
  <c r="J9" i="3"/>
  <c r="O8" i="3"/>
  <c r="N8" i="3"/>
  <c r="M8" i="3"/>
  <c r="L8" i="3"/>
  <c r="K8" i="3"/>
  <c r="J8" i="3"/>
  <c r="I8" i="3"/>
  <c r="O7" i="3"/>
  <c r="N7" i="3"/>
  <c r="M7" i="3"/>
  <c r="L7" i="3"/>
  <c r="K7" i="3"/>
  <c r="J7" i="3"/>
  <c r="I7" i="3"/>
  <c r="H7" i="3"/>
  <c r="O6" i="3"/>
  <c r="N6" i="3"/>
  <c r="M6" i="3"/>
  <c r="L6" i="3"/>
  <c r="K6" i="3"/>
  <c r="J6" i="3"/>
  <c r="I6" i="3"/>
  <c r="H6" i="3"/>
  <c r="G6" i="3"/>
  <c r="O5" i="3"/>
  <c r="N5" i="3"/>
  <c r="M5" i="3"/>
  <c r="L5" i="3"/>
  <c r="K5" i="3"/>
  <c r="J5" i="3"/>
  <c r="I5" i="3"/>
  <c r="H5" i="3"/>
  <c r="G5" i="3"/>
  <c r="F5" i="3"/>
  <c r="O4" i="3"/>
  <c r="N4" i="3"/>
  <c r="M4" i="3"/>
  <c r="L4" i="3"/>
  <c r="K4" i="3"/>
  <c r="J4" i="3"/>
  <c r="I4" i="3"/>
  <c r="H4" i="3"/>
  <c r="G4" i="3"/>
  <c r="F4" i="3"/>
  <c r="E4" i="3"/>
  <c r="O3" i="3"/>
  <c r="N3" i="3"/>
  <c r="M3" i="3"/>
  <c r="L3" i="3"/>
  <c r="K3" i="3"/>
  <c r="J3" i="3"/>
  <c r="I3" i="3"/>
  <c r="H3" i="3"/>
  <c r="G3" i="3"/>
  <c r="F3" i="3"/>
  <c r="E3" i="3"/>
  <c r="D3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O2" i="3"/>
  <c r="N2" i="3"/>
  <c r="M2" i="3"/>
  <c r="L2" i="3"/>
  <c r="K2" i="3"/>
  <c r="J2" i="3"/>
  <c r="I2" i="3"/>
  <c r="H2" i="3"/>
  <c r="G2" i="3"/>
  <c r="F2" i="3"/>
  <c r="E2" i="3"/>
  <c r="D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Johnston</author>
  </authors>
  <commentList>
    <comment ref="O8" authorId="0" shapeId="0" xr:uid="{E5B4B91E-96D2-4DB8-A632-2DF2FDF6F1C6}">
      <text>
        <r>
          <rPr>
            <sz val="9"/>
            <color indexed="81"/>
            <rFont val="Tahoma"/>
            <family val="2"/>
          </rPr>
          <t>n=14
95% CI=[0.3448, 0.9124]</t>
        </r>
      </text>
    </comment>
    <comment ref="O10" authorId="0" shapeId="0" xr:uid="{645E0AAB-6D44-4DC1-8C44-771920D45F7D}">
      <text>
        <r>
          <rPr>
            <sz val="9"/>
            <color indexed="81"/>
            <rFont val="Tahoma"/>
            <family val="2"/>
          </rPr>
          <t>n=14
95%CI=[0.5350, 0.9446]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Johnston</author>
  </authors>
  <commentList>
    <comment ref="O8" authorId="0" shapeId="0" xr:uid="{76DF325B-A0A7-42CA-8183-5F2B24F391F1}">
      <text>
        <r>
          <rPr>
            <sz val="9"/>
            <color indexed="81"/>
            <rFont val="Tahoma"/>
            <family val="2"/>
          </rPr>
          <t>n=14
95% CI=[0.3448, 0.9124]</t>
        </r>
      </text>
    </comment>
    <comment ref="O10" authorId="0" shapeId="0" xr:uid="{FF2F6B83-6561-46EE-88D5-4DA34EC34694}">
      <text>
        <r>
          <rPr>
            <sz val="9"/>
            <color indexed="81"/>
            <rFont val="Tahoma"/>
            <family val="2"/>
          </rPr>
          <t>n=14
95%CI=[0.5350, 0.9446]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Johnston</author>
  </authors>
  <commentList>
    <comment ref="O8" authorId="0" shapeId="0" xr:uid="{6BCB1317-3EA1-4CB2-89A9-6EB3AC19F4D7}">
      <text>
        <r>
          <rPr>
            <sz val="9"/>
            <color indexed="81"/>
            <rFont val="Tahoma"/>
            <family val="2"/>
          </rPr>
          <t>n=14
95% CI=[0.3448, 0.9124]</t>
        </r>
      </text>
    </comment>
    <comment ref="O10" authorId="0" shapeId="0" xr:uid="{4552F233-AFAA-466A-A10C-5DD43B99C3CC}">
      <text>
        <r>
          <rPr>
            <sz val="9"/>
            <color indexed="81"/>
            <rFont val="Tahoma"/>
            <family val="2"/>
          </rPr>
          <t>n=14
95%CI=[0.5350, 0.9446]</t>
        </r>
      </text>
    </comment>
  </commentList>
</comments>
</file>

<file path=xl/sharedStrings.xml><?xml version="1.0" encoding="utf-8"?>
<sst xmlns="http://schemas.openxmlformats.org/spreadsheetml/2006/main" count="573" uniqueCount="90">
  <si>
    <t>distraction_manual</t>
  </si>
  <si>
    <t>behavior_more_speed</t>
  </si>
  <si>
    <t>distraction_awareness</t>
  </si>
  <si>
    <t>distraction_shift_focus</t>
  </si>
  <si>
    <t>distraction_mental_load</t>
  </si>
  <si>
    <t>distraction_glance_frequency</t>
  </si>
  <si>
    <t>distraction_glance_duration</t>
  </si>
  <si>
    <t>behavior_less_speed</t>
  </si>
  <si>
    <t>behavior_speed_control</t>
  </si>
  <si>
    <t>behavior_lane_position</t>
  </si>
  <si>
    <t>behavior_reaction_time</t>
  </si>
  <si>
    <t>behavior_wrong_turns</t>
  </si>
  <si>
    <t>behavior_operating_errors</t>
  </si>
  <si>
    <t>interruptions</t>
  </si>
  <si>
    <t>bad_instructions</t>
  </si>
  <si>
    <t>X</t>
  </si>
  <si>
    <t>https://www.statology.org/confidence-interval-correlation-coefficient-calculator/</t>
  </si>
  <si>
    <t>[-0,47, 0,52]</t>
  </si>
  <si>
    <t>[-0,12, 0,75]</t>
  </si>
  <si>
    <t>[-0,22, 0,7]</t>
  </si>
  <si>
    <t>[-0,38, 0,6]</t>
  </si>
  <si>
    <t>[-0,23, 0,74]</t>
  </si>
  <si>
    <t>[-0,09, 0,8]</t>
  </si>
  <si>
    <t>[-0,11, 0,79]</t>
  </si>
  <si>
    <t>[-0,27, 0,72]</t>
  </si>
  <si>
    <t>[-0,21, 0,75]</t>
  </si>
  <si>
    <t>[-0,58, 0,48]</t>
  </si>
  <si>
    <t>[-0,07, 0,8]</t>
  </si>
  <si>
    <t>[-0,32, 0,64]</t>
  </si>
  <si>
    <t>[0,05, 0,81]</t>
  </si>
  <si>
    <t>[-0,28, 0,66]</t>
  </si>
  <si>
    <t>[-0,24, 0,73]</t>
  </si>
  <si>
    <t>[-0,3, 0,7]</t>
  </si>
  <si>
    <t>[-0,55, 0,51]</t>
  </si>
  <si>
    <t>[-0,7, 0,3]</t>
  </si>
  <si>
    <t>[-0,56, 0,5]</t>
  </si>
  <si>
    <t>[-0,46, 0,59]</t>
  </si>
  <si>
    <t>[-0,53, 0,53]</t>
  </si>
  <si>
    <t>[-0,14, 0,78]</t>
  </si>
  <si>
    <t>[-0,37, 0,66]</t>
  </si>
  <si>
    <t>[0,04, 0,81]</t>
  </si>
  <si>
    <t>[0,12, 0,84]</t>
  </si>
  <si>
    <t>[0,27, 0,88]</t>
  </si>
  <si>
    <t>[-0,24, 0,74]</t>
  </si>
  <si>
    <t>[0,17, 0,88]</t>
  </si>
  <si>
    <t>[-0,08, 0,8]</t>
  </si>
  <si>
    <t>[-0,02, 0,82]</t>
  </si>
  <si>
    <t>[0,11, 0,86]</t>
  </si>
  <si>
    <t>[-0,29, 0,71]</t>
  </si>
  <si>
    <t>[-0,41, 0,64]</t>
  </si>
  <si>
    <t>[-0,36, 0,67]</t>
  </si>
  <si>
    <t>[-0,62, 0,43]</t>
  </si>
  <si>
    <t>[-0,42, 0,63]</t>
  </si>
  <si>
    <t>[-0,75, 0,21]</t>
  </si>
  <si>
    <t>[-0,39, 0,65]</t>
  </si>
  <si>
    <t>[-0,51, 0,55]</t>
  </si>
  <si>
    <t>[-0,66, 0,37]</t>
  </si>
  <si>
    <t>[-0,01, 0,83]</t>
  </si>
  <si>
    <t>[-0,25, 0,73]</t>
  </si>
  <si>
    <t>[-0,49, 0,57]</t>
  </si>
  <si>
    <t>[-0,38, 0,66]</t>
  </si>
  <si>
    <t>[-0,15, 0,78]</t>
  </si>
  <si>
    <t>[-0,68, 0,33]</t>
  </si>
  <si>
    <t>[0,54, 0,95]</t>
  </si>
  <si>
    <t>[-0,17, 0,76]</t>
  </si>
  <si>
    <t>[0,35, 0,91]</t>
  </si>
  <si>
    <t>[-0,43, 0,62]</t>
  </si>
  <si>
    <t>[-0,65, 0,39]</t>
  </si>
  <si>
    <t>[-0,31, 0,7]</t>
  </si>
  <si>
    <t>[-0,05, 0,81]</t>
  </si>
  <si>
    <t>[0,01, 0,83]</t>
  </si>
  <si>
    <t>[0,01, 0,8]</t>
  </si>
  <si>
    <t>[0,38, 0,9]</t>
  </si>
  <si>
    <t>[-0,4, 0,64]</t>
  </si>
  <si>
    <t>[-0,48, 0,58]</t>
  </si>
  <si>
    <t>[0,45, 0,92]</t>
  </si>
  <si>
    <t>[-0,34, 0,68]</t>
  </si>
  <si>
    <t>[0,27, 0,9]</t>
  </si>
  <si>
    <t>[-0,17, 0,77]</t>
  </si>
  <si>
    <t>[-0,35, 0,67]</t>
  </si>
  <si>
    <t>[-0,5, 0,56]</t>
  </si>
  <si>
    <t>[-0,44, 0,61]</t>
  </si>
  <si>
    <t>[-0,33, 0,68]</t>
  </si>
  <si>
    <t>[-0,38, 0,65]</t>
  </si>
  <si>
    <t>[0,1, 0,86]</t>
  </si>
  <si>
    <t>[-0,16, 0,77]</t>
  </si>
  <si>
    <t>[0,25, 0,89]</t>
  </si>
  <si>
    <t>[-0,2, 0,75]</t>
  </si>
  <si>
    <t>[0,36, 0,92]</t>
  </si>
  <si>
    <t>[0,26, 0,9]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</si>
</sst>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 textRotation="180"/>
    </xf>
    <xf numFmtId="0" fontId="2" fillId="0" borderId="4" xfId="0" applyFont="1" applyBorder="1" applyAlignment="1">
      <alignment horizontal="center" textRotation="180"/>
    </xf>
    <xf numFmtId="0" fontId="2" fillId="0" borderId="1" xfId="0" applyFont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4" fillId="0" borderId="0" xfId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0" borderId="10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tatology.org/confidence-interval-correlation-coefficient-calculator/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031-161F-4469-823E-4440F0CCFDAA}">
  <sheetPr codeName="Blad1"/>
  <dimension ref="A1:O17"/>
  <sheetViews>
    <sheetView topLeftCell="F1" workbookViewId="0">
      <selection activeCell="G2" sqref="G2:G17"/>
    </sheetView>
  </sheetViews>
  <sheetFormatPr defaultRowHeight="14.4" x14ac:dyDescent="0.3"/>
  <cols>
    <col min="1" max="15" width="25.6640625" style="1" customWidth="1"/>
  </cols>
  <sheetData>
    <row r="1" spans="1:15" x14ac:dyDescent="0.3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14</v>
      </c>
      <c r="O1" s="1" t="s">
        <v>13</v>
      </c>
    </row>
    <row r="2" spans="1:15" x14ac:dyDescent="0.3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2</v>
      </c>
      <c r="G2" s="1">
        <v>0</v>
      </c>
      <c r="H2" s="1">
        <v>1</v>
      </c>
      <c r="I2" s="1">
        <v>1</v>
      </c>
      <c r="J2" s="1">
        <v>1</v>
      </c>
      <c r="K2" s="1">
        <v>2</v>
      </c>
      <c r="L2" s="1">
        <v>1</v>
      </c>
      <c r="M2" s="1">
        <v>2</v>
      </c>
      <c r="N2" s="1">
        <v>2</v>
      </c>
      <c r="O2" s="1">
        <v>2</v>
      </c>
    </row>
    <row r="3" spans="1:15" x14ac:dyDescent="0.3">
      <c r="A3" s="1">
        <v>0</v>
      </c>
      <c r="B3" s="1">
        <v>1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1</v>
      </c>
      <c r="I3" s="1">
        <v>0</v>
      </c>
      <c r="J3" s="1">
        <v>1</v>
      </c>
      <c r="K3" s="1">
        <v>1</v>
      </c>
      <c r="L3" s="1">
        <v>1</v>
      </c>
      <c r="M3" s="1">
        <v>1</v>
      </c>
      <c r="N3" s="1">
        <v>1</v>
      </c>
      <c r="O3" s="1">
        <v>1</v>
      </c>
    </row>
    <row r="4" spans="1:15" x14ac:dyDescent="0.3">
      <c r="A4" s="1">
        <v>1</v>
      </c>
      <c r="B4" s="1">
        <v>1</v>
      </c>
      <c r="C4" s="1">
        <v>1</v>
      </c>
      <c r="D4" s="1">
        <v>1</v>
      </c>
      <c r="E4" s="1">
        <v>1</v>
      </c>
      <c r="F4" s="1">
        <v>1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2</v>
      </c>
      <c r="M4" s="1">
        <v>1</v>
      </c>
      <c r="N4" s="1">
        <v>2</v>
      </c>
      <c r="O4" s="1">
        <v>2</v>
      </c>
    </row>
    <row r="5" spans="1:15" x14ac:dyDescent="0.3">
      <c r="A5" s="1">
        <v>0</v>
      </c>
      <c r="B5" s="1">
        <v>1</v>
      </c>
      <c r="C5" s="1">
        <v>0</v>
      </c>
      <c r="D5" s="1">
        <v>0</v>
      </c>
      <c r="E5" s="1">
        <v>1</v>
      </c>
      <c r="F5" s="1">
        <v>1</v>
      </c>
    </row>
    <row r="6" spans="1:15" x14ac:dyDescent="0.3">
      <c r="A6" s="1">
        <v>0</v>
      </c>
      <c r="B6" s="1">
        <v>0</v>
      </c>
      <c r="C6" s="1">
        <v>1</v>
      </c>
      <c r="D6" s="1">
        <v>0</v>
      </c>
      <c r="E6" s="1">
        <v>0</v>
      </c>
      <c r="F6" s="1">
        <v>1</v>
      </c>
      <c r="G6" s="1">
        <v>1</v>
      </c>
      <c r="H6" s="1">
        <v>1</v>
      </c>
      <c r="I6" s="1">
        <v>2</v>
      </c>
      <c r="J6" s="1">
        <v>2</v>
      </c>
      <c r="K6" s="1">
        <v>1</v>
      </c>
      <c r="L6" s="1">
        <v>2</v>
      </c>
      <c r="M6" s="1">
        <v>0</v>
      </c>
      <c r="N6" s="1">
        <v>3</v>
      </c>
      <c r="O6" s="1">
        <v>2</v>
      </c>
    </row>
    <row r="7" spans="1:15" x14ac:dyDescent="0.3">
      <c r="A7" s="1">
        <v>1</v>
      </c>
      <c r="B7" s="1">
        <v>1</v>
      </c>
      <c r="C7" s="1">
        <v>1</v>
      </c>
      <c r="D7" s="1">
        <v>1</v>
      </c>
      <c r="E7" s="1">
        <v>2</v>
      </c>
      <c r="F7" s="1">
        <v>2</v>
      </c>
      <c r="G7" s="1">
        <v>0</v>
      </c>
      <c r="H7" s="1">
        <v>2</v>
      </c>
      <c r="I7" s="1">
        <v>2</v>
      </c>
      <c r="J7" s="1">
        <v>2</v>
      </c>
      <c r="K7" s="1">
        <v>2</v>
      </c>
      <c r="L7" s="1">
        <v>3</v>
      </c>
      <c r="M7" s="1">
        <v>0</v>
      </c>
      <c r="N7" s="1">
        <v>2</v>
      </c>
      <c r="O7" s="1">
        <v>2</v>
      </c>
    </row>
    <row r="8" spans="1:15" x14ac:dyDescent="0.3">
      <c r="A8" s="1">
        <v>1</v>
      </c>
      <c r="B8" s="1">
        <v>1</v>
      </c>
      <c r="C8" s="1">
        <v>2</v>
      </c>
      <c r="D8" s="1">
        <v>1</v>
      </c>
      <c r="E8" s="1">
        <v>2</v>
      </c>
      <c r="F8" s="1">
        <v>2</v>
      </c>
      <c r="G8" s="1">
        <v>1</v>
      </c>
      <c r="H8" s="1">
        <v>3</v>
      </c>
      <c r="I8" s="1">
        <v>2</v>
      </c>
      <c r="J8" s="1">
        <v>2</v>
      </c>
      <c r="K8" s="1">
        <v>2</v>
      </c>
      <c r="L8" s="1">
        <v>2</v>
      </c>
      <c r="M8" s="1">
        <v>1</v>
      </c>
      <c r="N8" s="1">
        <v>2</v>
      </c>
      <c r="O8" s="1">
        <v>1</v>
      </c>
    </row>
    <row r="9" spans="1:15" x14ac:dyDescent="0.3">
      <c r="A9" s="1">
        <v>2</v>
      </c>
      <c r="B9" s="1">
        <v>2</v>
      </c>
      <c r="C9" s="1">
        <v>1</v>
      </c>
      <c r="D9" s="1">
        <v>1</v>
      </c>
      <c r="E9" s="1">
        <v>1</v>
      </c>
      <c r="F9" s="1">
        <v>1</v>
      </c>
      <c r="G9" s="1">
        <v>1</v>
      </c>
      <c r="H9" s="1">
        <v>2</v>
      </c>
      <c r="I9" s="1">
        <v>2</v>
      </c>
      <c r="J9" s="1">
        <v>2</v>
      </c>
      <c r="K9" s="1">
        <v>2</v>
      </c>
      <c r="L9" s="1">
        <v>1</v>
      </c>
      <c r="M9" s="1">
        <v>1</v>
      </c>
      <c r="N9" s="1">
        <v>2</v>
      </c>
      <c r="O9" s="1">
        <v>1</v>
      </c>
    </row>
    <row r="10" spans="1:15" x14ac:dyDescent="0.3">
      <c r="A10" s="1">
        <v>2</v>
      </c>
      <c r="B10" s="1">
        <v>1</v>
      </c>
      <c r="C10" s="1">
        <v>1</v>
      </c>
      <c r="D10" s="1">
        <v>0</v>
      </c>
      <c r="E10" s="1">
        <v>1</v>
      </c>
      <c r="F10" s="1">
        <v>1</v>
      </c>
      <c r="G10" s="1">
        <v>3</v>
      </c>
      <c r="H10" s="1">
        <v>2</v>
      </c>
      <c r="I10" s="1">
        <v>3</v>
      </c>
      <c r="J10" s="1">
        <v>2</v>
      </c>
      <c r="K10" s="1">
        <v>1</v>
      </c>
      <c r="L10" s="1">
        <v>2</v>
      </c>
      <c r="M10" s="1">
        <v>2</v>
      </c>
      <c r="N10" s="1">
        <v>4</v>
      </c>
      <c r="O10" s="1">
        <v>2</v>
      </c>
    </row>
    <row r="11" spans="1:15" x14ac:dyDescent="0.3">
      <c r="A11" s="1">
        <v>0</v>
      </c>
      <c r="B11" s="1">
        <v>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1</v>
      </c>
      <c r="I11" s="1">
        <v>1</v>
      </c>
      <c r="J11" s="1">
        <v>0</v>
      </c>
      <c r="K11" s="1">
        <v>0</v>
      </c>
      <c r="L11" s="1">
        <v>1</v>
      </c>
      <c r="M11" s="1">
        <v>0</v>
      </c>
      <c r="N11" s="1">
        <v>2</v>
      </c>
      <c r="O11" s="1">
        <v>2</v>
      </c>
    </row>
    <row r="12" spans="1:15" x14ac:dyDescent="0.3">
      <c r="A12" s="1">
        <v>1</v>
      </c>
      <c r="B12" s="1">
        <v>2</v>
      </c>
      <c r="C12" s="1">
        <v>1</v>
      </c>
      <c r="D12" s="1">
        <v>0</v>
      </c>
      <c r="E12" s="1">
        <v>1</v>
      </c>
      <c r="F12" s="1">
        <v>1</v>
      </c>
      <c r="G12" s="1">
        <v>2</v>
      </c>
      <c r="H12" s="1">
        <v>2</v>
      </c>
      <c r="I12" s="1">
        <v>2</v>
      </c>
      <c r="J12" s="1">
        <v>2</v>
      </c>
      <c r="K12" s="1">
        <v>2</v>
      </c>
      <c r="L12" s="1">
        <v>0</v>
      </c>
      <c r="M12" s="1">
        <v>0</v>
      </c>
      <c r="N12" s="1">
        <v>2</v>
      </c>
      <c r="O12" s="1">
        <v>1</v>
      </c>
    </row>
    <row r="13" spans="1:15" x14ac:dyDescent="0.3">
      <c r="A13" s="1">
        <v>1</v>
      </c>
      <c r="B13" s="1">
        <v>0</v>
      </c>
      <c r="C13" s="1">
        <v>0</v>
      </c>
      <c r="D13" s="1">
        <v>0</v>
      </c>
      <c r="E13" s="1">
        <v>1</v>
      </c>
      <c r="F13" s="1">
        <v>1</v>
      </c>
    </row>
    <row r="14" spans="1:15" x14ac:dyDescent="0.3">
      <c r="A14" s="1">
        <v>0</v>
      </c>
      <c r="B14" s="1">
        <v>2</v>
      </c>
      <c r="C14" s="1">
        <v>1</v>
      </c>
      <c r="D14" s="1">
        <v>2</v>
      </c>
      <c r="E14" s="1">
        <v>1</v>
      </c>
      <c r="F14" s="1">
        <v>2</v>
      </c>
      <c r="G14" s="1">
        <v>1</v>
      </c>
      <c r="H14" s="1">
        <v>1</v>
      </c>
      <c r="I14" s="1">
        <v>1</v>
      </c>
      <c r="J14" s="1">
        <v>2</v>
      </c>
      <c r="K14" s="1">
        <v>2</v>
      </c>
      <c r="L14" s="1">
        <v>2</v>
      </c>
      <c r="M14" s="1">
        <v>1</v>
      </c>
      <c r="N14" s="1">
        <v>1</v>
      </c>
      <c r="O14" s="1">
        <v>2</v>
      </c>
    </row>
    <row r="15" spans="1:15" x14ac:dyDescent="0.3">
      <c r="A15" s="1">
        <v>0</v>
      </c>
      <c r="B15" s="1">
        <v>2</v>
      </c>
      <c r="C15" s="1">
        <v>1</v>
      </c>
      <c r="D15" s="1">
        <v>1</v>
      </c>
      <c r="E15" s="1">
        <v>2</v>
      </c>
      <c r="F15" s="1">
        <v>2</v>
      </c>
      <c r="G15" s="1">
        <v>2</v>
      </c>
      <c r="H15" s="1">
        <v>2</v>
      </c>
      <c r="I15" s="1">
        <v>2</v>
      </c>
      <c r="J15" s="1">
        <v>1</v>
      </c>
      <c r="K15" s="1">
        <v>1</v>
      </c>
      <c r="L15" s="1">
        <v>2</v>
      </c>
      <c r="M15" s="1">
        <v>0</v>
      </c>
      <c r="N15" s="1">
        <v>3</v>
      </c>
      <c r="O15" s="1">
        <v>2</v>
      </c>
    </row>
    <row r="16" spans="1:15" x14ac:dyDescent="0.3">
      <c r="A16" s="1">
        <v>1</v>
      </c>
      <c r="B16" s="1">
        <v>1</v>
      </c>
      <c r="C16" s="1">
        <v>1</v>
      </c>
      <c r="D16" s="1">
        <v>1</v>
      </c>
      <c r="E16" s="1">
        <v>1</v>
      </c>
      <c r="F16" s="1">
        <v>2</v>
      </c>
      <c r="G16" s="1">
        <v>2</v>
      </c>
      <c r="H16" s="1">
        <v>2</v>
      </c>
      <c r="I16" s="1">
        <v>2</v>
      </c>
      <c r="J16" s="1">
        <v>0</v>
      </c>
      <c r="K16" s="1">
        <v>1</v>
      </c>
      <c r="L16" s="1">
        <v>2</v>
      </c>
      <c r="M16" s="1">
        <v>1</v>
      </c>
      <c r="N16" s="1">
        <v>3</v>
      </c>
      <c r="O16" s="1">
        <v>1</v>
      </c>
    </row>
    <row r="17" spans="1:15" x14ac:dyDescent="0.3">
      <c r="A17" s="1">
        <v>1</v>
      </c>
      <c r="B17" s="1">
        <v>0</v>
      </c>
      <c r="C17" s="1">
        <v>1</v>
      </c>
      <c r="D17" s="1">
        <v>0</v>
      </c>
      <c r="E17" s="1">
        <v>1</v>
      </c>
      <c r="F17" s="1">
        <v>1</v>
      </c>
      <c r="G17" s="1">
        <v>0</v>
      </c>
      <c r="H17" s="1">
        <v>1</v>
      </c>
      <c r="I17" s="1">
        <v>0</v>
      </c>
      <c r="J17" s="1">
        <v>1</v>
      </c>
      <c r="K17" s="1">
        <v>1</v>
      </c>
      <c r="L17" s="1">
        <v>0</v>
      </c>
      <c r="M17" s="1">
        <v>0</v>
      </c>
      <c r="N17" s="1">
        <v>1</v>
      </c>
      <c r="O17" s="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6AE6-EEE8-48D4-8304-6D059649E3E7}">
  <sheetPr codeName="Blad2"/>
  <dimension ref="A1:V16"/>
  <sheetViews>
    <sheetView tabSelected="1" zoomScale="80" zoomScaleNormal="80" workbookViewId="0">
      <selection activeCell="P16" sqref="A1:P16"/>
    </sheetView>
  </sheetViews>
  <sheetFormatPr defaultRowHeight="14.4" x14ac:dyDescent="0.3"/>
  <cols>
    <col min="1" max="1" width="38.88671875" style="5" customWidth="1"/>
    <col min="2" max="16" width="7.88671875" customWidth="1"/>
  </cols>
  <sheetData>
    <row r="1" spans="1:22" ht="202.2" thickBot="1" x14ac:dyDescent="0.45">
      <c r="A1" s="6"/>
      <c r="B1" s="7" t="s">
        <v>0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1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7" t="s">
        <v>14</v>
      </c>
      <c r="P1" s="7" t="s">
        <v>13</v>
      </c>
    </row>
    <row r="2" spans="1:22" s="2" customFormat="1" ht="25.2" customHeight="1" x14ac:dyDescent="0.3">
      <c r="A2" s="9" t="s">
        <v>0</v>
      </c>
      <c r="B2" s="17" t="s">
        <v>15</v>
      </c>
      <c r="C2" s="18">
        <f>PEARSON(distraction_awareness,distraction_manual)</f>
        <v>3.5874800166708763E-2</v>
      </c>
      <c r="D2" s="18">
        <f>PEARSON(distraction_shift_focus,distraction_manual)</f>
        <v>0.40370517361463093</v>
      </c>
      <c r="E2" s="18">
        <f>PEARSON(distraction_mental_load,distraction_manual)</f>
        <v>3.8778336716474064E-2</v>
      </c>
      <c r="F2" s="18">
        <f>PEARSON(distraction_glance_frequency,distraction_manual)</f>
        <v>0.30860669992418382</v>
      </c>
      <c r="G2" s="19">
        <f>PEARSON(distraction_glance_duration,distraction_manual)</f>
        <v>0.14285714285714285</v>
      </c>
      <c r="H2" s="20">
        <f>PEARSON(behavior_more_speed,distraction_manual)</f>
        <v>0.34347857005916349</v>
      </c>
      <c r="I2" s="21">
        <f>PEARSON(behavior_less_speed,distraction_manual)</f>
        <v>0.46204236393150755</v>
      </c>
      <c r="J2" s="21">
        <f>PEARSON(behavior_speed_control,distraction_manual)</f>
        <v>0.45037601741969391</v>
      </c>
      <c r="K2" s="21">
        <f>PEARSON(behavior_lane_position,distraction_manual)</f>
        <v>0.30587382052352141</v>
      </c>
      <c r="L2" s="21">
        <f>PEARSON(behavior_reaction_time,distraction_manual)</f>
        <v>0.35978376691409114</v>
      </c>
      <c r="M2" s="21">
        <f>PEARSON(behavior_wrong_turns,distraction_manual)</f>
        <v>-6.4339431059956251E-2</v>
      </c>
      <c r="N2" s="22">
        <f>PEARSON(behavior_operating_errors,distraction_manual)</f>
        <v>0.47601655464870701</v>
      </c>
      <c r="O2" s="23">
        <f>PEARSON(bad_instructions,distraction_manual)</f>
        <v>0.30903983234775423</v>
      </c>
      <c r="P2" s="18">
        <f>PEARSON(interruptions,distraction_manual)</f>
        <v>-0.275395527612947</v>
      </c>
      <c r="Q2" s="3"/>
      <c r="R2" s="3"/>
    </row>
    <row r="3" spans="1:22" s="2" customFormat="1" ht="25.2" customHeight="1" x14ac:dyDescent="0.3">
      <c r="A3" s="9" t="s">
        <v>2</v>
      </c>
      <c r="B3" s="17" t="s">
        <v>15</v>
      </c>
      <c r="C3" s="17" t="s">
        <v>15</v>
      </c>
      <c r="D3" s="18">
        <f>PEARSON(distraction_shift_focus,distraction_awareness)</f>
        <v>0.21402422701654999</v>
      </c>
      <c r="E3" s="18">
        <f>PEARSON(distraction_mental_load,distraction_awareness)</f>
        <v>0.53559855599282824</v>
      </c>
      <c r="F3" s="18">
        <f>PEARSON(distraction_glance_frequency,distraction_awareness)</f>
        <v>0.30999370331685144</v>
      </c>
      <c r="G3" s="19">
        <f>PEARSON(distraction_glance_duration,distraction_awareness)</f>
        <v>0.25112360116696136</v>
      </c>
      <c r="H3" s="24">
        <f>PEARSON(behavior_more_speed,distraction_awareness)</f>
        <v>0.36228441865473598</v>
      </c>
      <c r="I3" s="18">
        <f>PEARSON(behavior_less_speed,distraction_awareness)</f>
        <v>0.33344296442767507</v>
      </c>
      <c r="J3" s="18">
        <f>PEARSON(behavior_speed_control,distraction_awareness)</f>
        <v>0.2714483570153185</v>
      </c>
      <c r="K3" s="18">
        <f>PEARSON(behavior_lane_position,distraction_awareness)</f>
        <v>0.20024737177049309</v>
      </c>
      <c r="L3" s="18">
        <f>PEARSON(behavior_reaction_time,distraction_awareness)</f>
        <v>0.41873913807217095</v>
      </c>
      <c r="M3" s="18">
        <f>PEARSON(behavior_wrong_turns,distraction_awareness)</f>
        <v>3.0136821595507623E-17</v>
      </c>
      <c r="N3" s="25">
        <f>PEARSON(behavior_operating_errors,distraction_awareness)</f>
        <v>9.1287092917527762E-2</v>
      </c>
      <c r="O3" s="23">
        <f>PEARSON(bad_instructions,distraction_awareness)</f>
        <v>-3.8348249442368483E-2</v>
      </c>
      <c r="P3" s="18">
        <f>PEARSON(interruptions,distraction_awareness)</f>
        <v>-3.2274861218395103E-2</v>
      </c>
      <c r="Q3" s="3"/>
      <c r="R3" s="3"/>
    </row>
    <row r="4" spans="1:22" s="2" customFormat="1" ht="25.2" customHeight="1" x14ac:dyDescent="0.3">
      <c r="A4" s="9" t="s">
        <v>3</v>
      </c>
      <c r="B4" s="17" t="s">
        <v>15</v>
      </c>
      <c r="C4" s="17" t="s">
        <v>15</v>
      </c>
      <c r="D4" s="17" t="s">
        <v>15</v>
      </c>
      <c r="E4" s="18">
        <f>PEARSON(distraction_mental_load,distraction_shift_focus)</f>
        <v>0.52357328468220499</v>
      </c>
      <c r="F4" s="18">
        <f>PEARSON(distraction_glance_frequency,distraction_shift_focus)</f>
        <v>0.58140189973381107</v>
      </c>
      <c r="G4" s="19">
        <f>PEARSON(distraction_glance_duration,distraction_shift_focus)</f>
        <v>0.6728419560243849</v>
      </c>
      <c r="H4" s="24">
        <f>PEARSON(behavior_more_speed,distraction_shift_focus)</f>
        <v>0.33737388489831588</v>
      </c>
      <c r="I4" s="18">
        <f>PEARSON(behavior_less_speed,distraction_shift_focus)</f>
        <v>0.64491692751001661</v>
      </c>
      <c r="J4" s="18">
        <f>PEARSON(behavior_speed_control,distraction_shift_focus)</f>
        <v>0.47396939069093724</v>
      </c>
      <c r="K4" s="18">
        <f>PEARSON(behavior_lane_position,distraction_shift_focus)</f>
        <v>0.51281571400673587</v>
      </c>
      <c r="L4" s="18">
        <f>PEARSON(behavior_reaction_time,distraction_shift_focus)</f>
        <v>0.60319895636146681</v>
      </c>
      <c r="M4" s="18">
        <f>PEARSON(behavior_wrong_turns,distraction_shift_focus)</f>
        <v>0.28438163441456227</v>
      </c>
      <c r="N4" s="25">
        <f>PEARSON(behavior_operating_errors,distraction_shift_focus)</f>
        <v>0.15939417826583457</v>
      </c>
      <c r="O4" s="23">
        <f>PEARSON(bad_instructions,distraction_shift_focus)</f>
        <v>0.21426863360223228</v>
      </c>
      <c r="P4" s="18">
        <f>PEARSON(interruptions,distraction_shift_focus)</f>
        <v>-0.13525044520011476</v>
      </c>
      <c r="Q4" s="3"/>
      <c r="R4" s="3"/>
    </row>
    <row r="5" spans="1:22" s="2" customFormat="1" ht="25.2" customHeight="1" x14ac:dyDescent="0.3">
      <c r="A5" s="9" t="s">
        <v>4</v>
      </c>
      <c r="B5" s="17" t="s">
        <v>15</v>
      </c>
      <c r="C5" s="17" t="s">
        <v>15</v>
      </c>
      <c r="D5" s="17" t="s">
        <v>15</v>
      </c>
      <c r="E5" s="17" t="s">
        <v>15</v>
      </c>
      <c r="F5" s="18">
        <f>PEARSON(distraction_glance_frequency,distraction_mental_load)</f>
        <v>0.50262468995003473</v>
      </c>
      <c r="G5" s="19">
        <f>PEARSON(distraction_glance_duration,distraction_mental_load)</f>
        <v>0.73678839761300718</v>
      </c>
      <c r="H5" s="24">
        <f>PEARSON(behavior_more_speed,distraction_mental_load)</f>
        <v>0</v>
      </c>
      <c r="I5" s="18">
        <f>PEARSON(behavior_less_speed,distraction_mental_load)</f>
        <v>0.16110648406231645</v>
      </c>
      <c r="J5" s="18">
        <f>PEARSON(behavior_speed_control,distraction_mental_load)</f>
        <v>7.1041281904813361E-2</v>
      </c>
      <c r="K5" s="18">
        <f>PEARSON(behavior_lane_position,distraction_mental_load)</f>
        <v>0.12810632366949062</v>
      </c>
      <c r="L5" s="18">
        <f>PEARSON(behavior_reaction_time,distraction_mental_load)</f>
        <v>0.53424657534246578</v>
      </c>
      <c r="M5" s="18">
        <f>PEARSON(behavior_wrong_turns,distraction_mental_load)</f>
        <v>0.4972889733336936</v>
      </c>
      <c r="N5" s="25">
        <f>PEARSON(behavior_operating_errors,distraction_mental_load)</f>
        <v>0.26280016541212314</v>
      </c>
      <c r="O5" s="23">
        <f>PEARSON(bad_instructions,distraction_mental_load)</f>
        <v>-0.18065152032833257</v>
      </c>
      <c r="P5" s="18">
        <f>PEARSON(interruptions,distraction_mental_load)</f>
        <v>0.20272121351984587</v>
      </c>
      <c r="Q5" s="3"/>
      <c r="R5" s="3"/>
    </row>
    <row r="6" spans="1:22" s="2" customFormat="1" ht="25.2" customHeight="1" x14ac:dyDescent="0.3">
      <c r="A6" s="9" t="s">
        <v>5</v>
      </c>
      <c r="B6" s="17" t="s">
        <v>15</v>
      </c>
      <c r="C6" s="17" t="s">
        <v>15</v>
      </c>
      <c r="D6" s="17" t="s">
        <v>15</v>
      </c>
      <c r="E6" s="17" t="s">
        <v>15</v>
      </c>
      <c r="F6" s="17" t="s">
        <v>15</v>
      </c>
      <c r="G6" s="19">
        <f>PEARSON(distraction_glance_duration,distraction_glance_frequency)</f>
        <v>0.77151674981045948</v>
      </c>
      <c r="H6" s="24">
        <f>PEARSON(behavior_more_speed,distraction_glance_frequency)</f>
        <v>0.23570226039551587</v>
      </c>
      <c r="I6" s="18">
        <f>PEARSON(behavior_less_speed,distraction_glance_frequency)</f>
        <v>0.70087664405046235</v>
      </c>
      <c r="J6" s="18">
        <f>PEARSON(behavior_speed_control,distraction_glance_frequency)</f>
        <v>0.39735970711951313</v>
      </c>
      <c r="K6" s="18">
        <f>PEARSON(behavior_lane_position,distraction_glance_frequency)</f>
        <v>0.30398888289556308</v>
      </c>
      <c r="L6" s="18">
        <f>PEARSON(behavior_reaction_time,distraction_glance_frequency)</f>
        <v>0.53634991645073682</v>
      </c>
      <c r="M6" s="18">
        <f>PEARSON(behavior_wrong_turns,distraction_glance_frequency)</f>
        <v>0.39735970711951313</v>
      </c>
      <c r="N6" s="25">
        <f>PEARSON(behavior_operating_errors,distraction_glance_frequency)</f>
        <v>0</v>
      </c>
      <c r="O6" s="23">
        <f>PEARSON(bad_instructions,distraction_glance_frequency)</f>
        <v>0.13098420799889599</v>
      </c>
      <c r="P6" s="18">
        <f>PEARSON(interruptions,distraction_glance_frequency)</f>
        <v>0</v>
      </c>
      <c r="Q6" s="3"/>
      <c r="R6" s="3"/>
    </row>
    <row r="7" spans="1:22" s="2" customFormat="1" ht="25.2" customHeight="1" thickBot="1" x14ac:dyDescent="0.35">
      <c r="A7" s="9" t="s">
        <v>6</v>
      </c>
      <c r="B7" s="17" t="s">
        <v>15</v>
      </c>
      <c r="C7" s="17" t="s">
        <v>15</v>
      </c>
      <c r="D7" s="17" t="s">
        <v>15</v>
      </c>
      <c r="E7" s="17" t="s">
        <v>15</v>
      </c>
      <c r="F7" s="17" t="s">
        <v>15</v>
      </c>
      <c r="G7" s="26" t="s">
        <v>15</v>
      </c>
      <c r="H7" s="27">
        <f>PEARSON(behavior_more_speed,distraction_glance_duration)</f>
        <v>0.22047927592204919</v>
      </c>
      <c r="I7" s="28">
        <f>PEARSON(behavior_less_speed,distraction_glance_duration)</f>
        <v>0.44487826050130458</v>
      </c>
      <c r="J7" s="28">
        <f>PEARSON(behavior_speed_control,distraction_glance_duration)</f>
        <v>0.37169597083751416</v>
      </c>
      <c r="K7" s="28">
        <f>PEARSON(behavior_lane_position,distraction_glance_duration)</f>
        <v>0.22342222751815657</v>
      </c>
      <c r="L7" s="28">
        <f>PEARSON(behavior_reaction_time,distraction_glance_duration)</f>
        <v>0.59727310320937066</v>
      </c>
      <c r="M7" s="28">
        <f>PEARSON(behavior_wrong_turns,distraction_glance_duration)</f>
        <v>0.49559462778335206</v>
      </c>
      <c r="N7" s="29">
        <f>PEARSON(behavior_operating_errors,distraction_glance_duration)</f>
        <v>0.16666666666666663</v>
      </c>
      <c r="O7" s="23">
        <f>PEARSON(bad_instructions,distraction_glance_duration)</f>
        <v>0.17503501050350131</v>
      </c>
      <c r="P7" s="18">
        <f>PEARSON(interruptions,distraction_glance_duration)</f>
        <v>0.14731391274719743</v>
      </c>
      <c r="Q7" s="3"/>
      <c r="R7" s="3"/>
    </row>
    <row r="8" spans="1:22" s="2" customFormat="1" ht="25.2" customHeight="1" x14ac:dyDescent="0.3">
      <c r="A8" s="9" t="s">
        <v>1</v>
      </c>
      <c r="B8" s="17" t="s">
        <v>15</v>
      </c>
      <c r="C8" s="17" t="s">
        <v>15</v>
      </c>
      <c r="D8" s="17" t="s">
        <v>15</v>
      </c>
      <c r="E8" s="17" t="s">
        <v>15</v>
      </c>
      <c r="F8" s="17" t="s">
        <v>15</v>
      </c>
      <c r="G8" s="17" t="s">
        <v>15</v>
      </c>
      <c r="H8" s="30" t="s">
        <v>15</v>
      </c>
      <c r="I8" s="31">
        <f>PEARSON(behavior_less_speed,behavior_more_speed)</f>
        <v>0.495594627783352</v>
      </c>
      <c r="J8" s="31">
        <f>PEARSON(behavior_speed_control,behavior_more_speed)</f>
        <v>0.74926864926535519</v>
      </c>
      <c r="K8" s="31">
        <f>PEARSON(behavior_lane_position,behavior_more_speed)</f>
        <v>0.21495260050077594</v>
      </c>
      <c r="L8" s="31">
        <f>PEARSON(behavior_reaction_time,behavior_more_speed)</f>
        <v>0</v>
      </c>
      <c r="M8" s="31">
        <f>PEARSON(behavior_wrong_turns,behavior_more_speed)</f>
        <v>0.1873171623163388</v>
      </c>
      <c r="N8" s="31">
        <f>PEARSON(behavior_operating_errors,behavior_more_speed)</f>
        <v>0.22047927592204919</v>
      </c>
      <c r="O8" s="18">
        <f>PEARSON(bad_instructions,behavior_more_speed)</f>
        <v>0.74095857363494844</v>
      </c>
      <c r="P8" s="18">
        <f>PEARSON(interruptions,behavior_more_speed)</f>
        <v>0</v>
      </c>
      <c r="Q8" s="3"/>
      <c r="R8" s="3"/>
    </row>
    <row r="9" spans="1:22" s="2" customFormat="1" ht="25.2" customHeight="1" x14ac:dyDescent="0.3">
      <c r="A9" s="9" t="s">
        <v>7</v>
      </c>
      <c r="B9" s="17" t="s">
        <v>15</v>
      </c>
      <c r="C9" s="17" t="s">
        <v>15</v>
      </c>
      <c r="D9" s="17" t="s">
        <v>15</v>
      </c>
      <c r="E9" s="17" t="s">
        <v>15</v>
      </c>
      <c r="F9" s="17" t="s">
        <v>15</v>
      </c>
      <c r="G9" s="17" t="s">
        <v>15</v>
      </c>
      <c r="H9" s="17" t="s">
        <v>15</v>
      </c>
      <c r="I9" s="17" t="s">
        <v>15</v>
      </c>
      <c r="J9" s="18">
        <f>PEARSON(behavior_speed_control,behavior_less_speed)</f>
        <v>0.69625034501699745</v>
      </c>
      <c r="K9" s="18">
        <f>PEARSON(behavior_lane_position,behavior_less_speed)</f>
        <v>0.34241578083078955</v>
      </c>
      <c r="L9" s="18">
        <f>PEARSON(behavior_reaction_time,behavior_less_speed)</f>
        <v>0.402766210155791</v>
      </c>
      <c r="M9" s="18">
        <f>PEARSON(behavior_wrong_turns,behavior_less_speed)</f>
        <v>0.27850013800679896</v>
      </c>
      <c r="N9" s="18">
        <f>PEARSON(behavior_operating_errors,behavior_less_speed)</f>
        <v>4.6829290579084713E-2</v>
      </c>
      <c r="O9" s="18">
        <f>PEARSON(bad_instructions,behavior_less_speed)</f>
        <v>0.3934447376823168</v>
      </c>
      <c r="P9" s="18">
        <f>PEARSON(interruptions,behavior_less_speed)</f>
        <v>-0.36424639819288707</v>
      </c>
      <c r="Q9" s="3"/>
      <c r="R9" s="3"/>
    </row>
    <row r="10" spans="1:22" s="2" customFormat="1" ht="25.2" customHeight="1" x14ac:dyDescent="0.3">
      <c r="A10" s="9" t="s">
        <v>8</v>
      </c>
      <c r="B10" s="17" t="s">
        <v>15</v>
      </c>
      <c r="C10" s="17" t="s">
        <v>15</v>
      </c>
      <c r="D10" s="17" t="s">
        <v>15</v>
      </c>
      <c r="E10" s="17" t="s">
        <v>15</v>
      </c>
      <c r="F10" s="17" t="s">
        <v>15</v>
      </c>
      <c r="G10" s="17" t="s">
        <v>15</v>
      </c>
      <c r="H10" s="17" t="s">
        <v>15</v>
      </c>
      <c r="I10" s="17" t="s">
        <v>15</v>
      </c>
      <c r="J10" s="17" t="s">
        <v>15</v>
      </c>
      <c r="K10" s="18">
        <f>PEARSON(behavior_lane_position,behavior_speed_control)</f>
        <v>0.42277526716239128</v>
      </c>
      <c r="L10" s="18">
        <f>PEARSON(behavior_reaction_time,behavior_speed_control)</f>
        <v>0.2131238457144401</v>
      </c>
      <c r="M10" s="18">
        <f>PEARSON(behavior_wrong_turns,behavior_speed_control)</f>
        <v>0.47368421052631582</v>
      </c>
      <c r="N10" s="18">
        <f>PEARSON(behavior_operating_errors,behavior_speed_control)</f>
        <v>0.123898656945838</v>
      </c>
      <c r="O10" s="18">
        <f>PEARSON(bad_instructions,behavior_speed_control)</f>
        <v>0.83276554444356299</v>
      </c>
      <c r="P10" s="18">
        <f>PEARSON(interruptions,behavior_speed_control)</f>
        <v>0.17521916101261559</v>
      </c>
      <c r="Q10" s="3"/>
      <c r="V10" s="16" t="s">
        <v>16</v>
      </c>
    </row>
    <row r="11" spans="1:22" s="2" customFormat="1" ht="25.2" customHeight="1" x14ac:dyDescent="0.3">
      <c r="A11" s="9" t="s">
        <v>9</v>
      </c>
      <c r="B11" s="17" t="s">
        <v>15</v>
      </c>
      <c r="C11" s="17" t="s">
        <v>15</v>
      </c>
      <c r="D11" s="17" t="s">
        <v>15</v>
      </c>
      <c r="E11" s="17" t="s">
        <v>15</v>
      </c>
      <c r="F11" s="17" t="s">
        <v>15</v>
      </c>
      <c r="G11" s="17" t="s">
        <v>15</v>
      </c>
      <c r="H11" s="17" t="s">
        <v>15</v>
      </c>
      <c r="I11" s="17" t="s">
        <v>15</v>
      </c>
      <c r="J11" s="17" t="s">
        <v>15</v>
      </c>
      <c r="K11" s="17" t="s">
        <v>15</v>
      </c>
      <c r="L11" s="18">
        <f>PEARSON(behavior_reaction_time,behavior_lane_position)</f>
        <v>0.68711573604544973</v>
      </c>
      <c r="M11" s="18">
        <f>PEARSON(behavior_wrong_turns,behavior_lane_position)</f>
        <v>0.18118940021245342</v>
      </c>
      <c r="N11" s="18">
        <f>PEARSON(behavior_operating_errors,behavior_lane_position)</f>
        <v>6.0933334777679045E-2</v>
      </c>
      <c r="O11" s="18">
        <f>PEARSON(bad_instructions,behavior_lane_position)</f>
        <v>3.4129494057038051E-2</v>
      </c>
      <c r="P11" s="18">
        <f>PEARSON(interruptions,behavior_lane_position)</f>
        <v>2.872424948107127E-2</v>
      </c>
      <c r="Q11" s="3"/>
      <c r="R11" s="3"/>
    </row>
    <row r="12" spans="1:22" s="2" customFormat="1" ht="25.2" customHeight="1" x14ac:dyDescent="0.3">
      <c r="A12" s="9" t="s">
        <v>10</v>
      </c>
      <c r="B12" s="17" t="s">
        <v>15</v>
      </c>
      <c r="C12" s="17" t="s">
        <v>15</v>
      </c>
      <c r="D12" s="17" t="s">
        <v>15</v>
      </c>
      <c r="E12" s="17" t="s">
        <v>15</v>
      </c>
      <c r="F12" s="17" t="s">
        <v>15</v>
      </c>
      <c r="G12" s="17" t="s">
        <v>15</v>
      </c>
      <c r="H12" s="17" t="s">
        <v>15</v>
      </c>
      <c r="I12" s="17" t="s">
        <v>15</v>
      </c>
      <c r="J12" s="17" t="s">
        <v>15</v>
      </c>
      <c r="K12" s="17" t="s">
        <v>15</v>
      </c>
      <c r="L12" s="17" t="s">
        <v>15</v>
      </c>
      <c r="M12" s="18">
        <f>PEARSON(behavior_wrong_turns,behavior_reaction_time)</f>
        <v>7.1041281904813361E-2</v>
      </c>
      <c r="N12" s="18">
        <f>PEARSON(behavior_operating_errors,behavior_reaction_time)</f>
        <v>0.23890924128374824</v>
      </c>
      <c r="O12" s="18">
        <f>PEARSON(bad_instructions,behavior_reaction_time)</f>
        <v>-0.24086869377111014</v>
      </c>
      <c r="P12" s="18">
        <f>PEARSON(interruptions,behavior_reaction_time)</f>
        <v>-0.20272121351984584</v>
      </c>
      <c r="Q12" s="3"/>
      <c r="R12" s="3"/>
    </row>
    <row r="13" spans="1:22" s="2" customFormat="1" ht="25.2" customHeight="1" x14ac:dyDescent="0.3">
      <c r="A13" s="9" t="s">
        <v>11</v>
      </c>
      <c r="B13" s="17" t="s">
        <v>15</v>
      </c>
      <c r="C13" s="17" t="s">
        <v>15</v>
      </c>
      <c r="D13" s="17" t="s">
        <v>15</v>
      </c>
      <c r="E13" s="17" t="s">
        <v>15</v>
      </c>
      <c r="F13" s="17" t="s">
        <v>15</v>
      </c>
      <c r="G13" s="17" t="s">
        <v>15</v>
      </c>
      <c r="H13" s="17" t="s">
        <v>15</v>
      </c>
      <c r="I13" s="17" t="s">
        <v>15</v>
      </c>
      <c r="J13" s="17" t="s">
        <v>15</v>
      </c>
      <c r="K13" s="17" t="s">
        <v>15</v>
      </c>
      <c r="L13" s="17" t="s">
        <v>15</v>
      </c>
      <c r="M13" s="17" t="s">
        <v>15</v>
      </c>
      <c r="N13" s="18">
        <f>PEARSON(behavior_operating_errors,behavior_wrong_turns)</f>
        <v>0.12389865694583804</v>
      </c>
      <c r="O13" s="18">
        <f>PEARSON(bad_instructions,behavior_wrong_turns)</f>
        <v>0.41638277222178149</v>
      </c>
      <c r="P13" s="18">
        <f>PEARSON(interruptions,behavior_wrong_turns)</f>
        <v>0.52565748303784687</v>
      </c>
      <c r="Q13" s="3"/>
      <c r="R13" s="3"/>
    </row>
    <row r="14" spans="1:22" s="2" customFormat="1" ht="25.2" customHeight="1" x14ac:dyDescent="0.3">
      <c r="A14" s="9" t="s">
        <v>12</v>
      </c>
      <c r="B14" s="17" t="s">
        <v>15</v>
      </c>
      <c r="C14" s="17" t="s">
        <v>15</v>
      </c>
      <c r="D14" s="17" t="s">
        <v>15</v>
      </c>
      <c r="E14" s="17" t="s">
        <v>15</v>
      </c>
      <c r="F14" s="17" t="s">
        <v>15</v>
      </c>
      <c r="G14" s="17" t="s">
        <v>15</v>
      </c>
      <c r="H14" s="17" t="s">
        <v>15</v>
      </c>
      <c r="I14" s="17" t="s">
        <v>15</v>
      </c>
      <c r="J14" s="17" t="s">
        <v>15</v>
      </c>
      <c r="K14" s="17" t="s">
        <v>15</v>
      </c>
      <c r="L14" s="17" t="s">
        <v>15</v>
      </c>
      <c r="M14" s="17" t="s">
        <v>15</v>
      </c>
      <c r="N14" s="17" t="s">
        <v>15</v>
      </c>
      <c r="O14" s="18">
        <f>PEARSON(bad_instructions,behavior_operating_errors)</f>
        <v>0.19253851155385132</v>
      </c>
      <c r="P14" s="18">
        <f>PEARSON(interruptions,behavior_operating_errors)</f>
        <v>5.8925565098878974E-2</v>
      </c>
      <c r="Q14" s="3"/>
      <c r="R14" s="3"/>
    </row>
    <row r="15" spans="1:22" s="2" customFormat="1" ht="25.2" customHeight="1" x14ac:dyDescent="0.3">
      <c r="A15" s="9" t="s">
        <v>14</v>
      </c>
      <c r="B15" s="17" t="s">
        <v>15</v>
      </c>
      <c r="C15" s="17" t="s">
        <v>15</v>
      </c>
      <c r="D15" s="17" t="s">
        <v>15</v>
      </c>
      <c r="E15" s="17" t="s">
        <v>15</v>
      </c>
      <c r="F15" s="17" t="s">
        <v>15</v>
      </c>
      <c r="G15" s="17" t="s">
        <v>15</v>
      </c>
      <c r="H15" s="17" t="s">
        <v>15</v>
      </c>
      <c r="I15" s="17" t="s">
        <v>15</v>
      </c>
      <c r="J15" s="17" t="s">
        <v>15</v>
      </c>
      <c r="K15" s="17" t="s">
        <v>15</v>
      </c>
      <c r="L15" s="17" t="s">
        <v>15</v>
      </c>
      <c r="M15" s="17" t="s">
        <v>15</v>
      </c>
      <c r="N15" s="17" t="s">
        <v>15</v>
      </c>
      <c r="O15" s="17" t="s">
        <v>15</v>
      </c>
      <c r="P15" s="18">
        <f>PEARSON(interruptions,bad_instructions)</f>
        <v>0.32179795146741913</v>
      </c>
      <c r="Q15" s="3"/>
      <c r="R15" s="3"/>
    </row>
    <row r="16" spans="1:22" s="2" customFormat="1" ht="25.2" customHeight="1" x14ac:dyDescent="0.3">
      <c r="A16" s="9" t="s">
        <v>13</v>
      </c>
      <c r="B16" s="17" t="s">
        <v>15</v>
      </c>
      <c r="C16" s="17" t="s">
        <v>15</v>
      </c>
      <c r="D16" s="17" t="s">
        <v>15</v>
      </c>
      <c r="E16" s="17" t="s">
        <v>15</v>
      </c>
      <c r="F16" s="17" t="s">
        <v>15</v>
      </c>
      <c r="G16" s="17" t="s">
        <v>15</v>
      </c>
      <c r="H16" s="17" t="s">
        <v>15</v>
      </c>
      <c r="I16" s="17" t="s">
        <v>15</v>
      </c>
      <c r="J16" s="17" t="s">
        <v>15</v>
      </c>
      <c r="K16" s="17" t="s">
        <v>15</v>
      </c>
      <c r="L16" s="17" t="s">
        <v>15</v>
      </c>
      <c r="M16" s="17" t="s">
        <v>15</v>
      </c>
      <c r="N16" s="17" t="s">
        <v>15</v>
      </c>
      <c r="O16" s="17" t="s">
        <v>15</v>
      </c>
      <c r="P16" s="17" t="s">
        <v>15</v>
      </c>
      <c r="Q16" s="3"/>
      <c r="R16" s="3"/>
    </row>
  </sheetData>
  <conditionalFormatting sqref="B2:P16">
    <cfRule type="colorScale" priority="1">
      <colorScale>
        <cfvo type="min"/>
        <cfvo type="max"/>
        <color theme="0"/>
        <color theme="1" tint="0.499984740745262"/>
      </colorScale>
    </cfRule>
  </conditionalFormatting>
  <hyperlinks>
    <hyperlink ref="V10" r:id="rId1" xr:uid="{D250E16F-2360-4986-A260-C01C03CEB11C}"/>
  </hyperlinks>
  <pageMargins left="0.7" right="0.7" top="0.75" bottom="0.75" header="0.3" footer="0.3"/>
  <pageSetup paperSize="9" orientation="portrait" horizontalDpi="4294967294" verticalDpi="0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2F20-E92B-4135-9EF2-98FB72447BAE}">
  <sheetPr codeName="Blad3"/>
  <dimension ref="A1:V16"/>
  <sheetViews>
    <sheetView zoomScale="80" zoomScaleNormal="80" workbookViewId="0">
      <selection activeCell="J8" sqref="J8"/>
    </sheetView>
  </sheetViews>
  <sheetFormatPr defaultRowHeight="14.4" x14ac:dyDescent="0.3"/>
  <cols>
    <col min="1" max="1" width="38.88671875" style="5" customWidth="1"/>
    <col min="2" max="2" width="7.88671875" customWidth="1"/>
    <col min="3" max="3" width="8.6640625" bestFit="1" customWidth="1"/>
    <col min="4" max="16" width="7.88671875" customWidth="1"/>
    <col min="20" max="20" width="52.6640625" customWidth="1"/>
  </cols>
  <sheetData>
    <row r="1" spans="1:22" ht="201.6" x14ac:dyDescent="0.4">
      <c r="A1" s="6"/>
      <c r="B1" s="7" t="s">
        <v>0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1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7" t="s">
        <v>14</v>
      </c>
      <c r="P1" s="7" t="s">
        <v>13</v>
      </c>
    </row>
    <row r="2" spans="1:22" s="2" customFormat="1" ht="25.2" customHeight="1" x14ac:dyDescent="0.3">
      <c r="A2" s="9" t="s">
        <v>0</v>
      </c>
      <c r="B2" s="10" t="s">
        <v>15</v>
      </c>
      <c r="C2" s="13">
        <f ca="1">MIN(COUNT(INDIRECT(C$1)),COUNT(INDIRECT($A2)))</f>
        <v>16</v>
      </c>
      <c r="D2" s="13">
        <f t="shared" ref="D2:P15" ca="1" si="0">MIN(COUNT(INDIRECT(D$1)),COUNT(INDIRECT($A2)))</f>
        <v>16</v>
      </c>
      <c r="E2" s="13">
        <f t="shared" ca="1" si="0"/>
        <v>16</v>
      </c>
      <c r="F2" s="13">
        <f t="shared" ca="1" si="0"/>
        <v>16</v>
      </c>
      <c r="G2" s="13">
        <f t="shared" ca="1" si="0"/>
        <v>16</v>
      </c>
      <c r="H2" s="13">
        <f t="shared" ca="1" si="0"/>
        <v>14</v>
      </c>
      <c r="I2" s="13">
        <f t="shared" ca="1" si="0"/>
        <v>14</v>
      </c>
      <c r="J2" s="13">
        <f t="shared" ca="1" si="0"/>
        <v>14</v>
      </c>
      <c r="K2" s="13">
        <f t="shared" ca="1" si="0"/>
        <v>14</v>
      </c>
      <c r="L2" s="13">
        <f t="shared" ca="1" si="0"/>
        <v>14</v>
      </c>
      <c r="M2" s="13">
        <f t="shared" ca="1" si="0"/>
        <v>14</v>
      </c>
      <c r="N2" s="13">
        <f t="shared" ca="1" si="0"/>
        <v>14</v>
      </c>
      <c r="O2" s="13">
        <f t="shared" ca="1" si="0"/>
        <v>14</v>
      </c>
      <c r="P2" s="13">
        <f t="shared" ca="1" si="0"/>
        <v>14</v>
      </c>
      <c r="Q2" s="3"/>
      <c r="R2" s="3"/>
      <c r="S2" s="3"/>
    </row>
    <row r="3" spans="1:22" s="2" customFormat="1" ht="25.2" customHeight="1" x14ac:dyDescent="0.3">
      <c r="A3" s="9" t="s">
        <v>2</v>
      </c>
      <c r="B3" s="10" t="s">
        <v>15</v>
      </c>
      <c r="C3" s="10" t="s">
        <v>15</v>
      </c>
      <c r="D3" s="13">
        <f t="shared" ca="1" si="0"/>
        <v>16</v>
      </c>
      <c r="E3" s="13">
        <f t="shared" ca="1" si="0"/>
        <v>16</v>
      </c>
      <c r="F3" s="13">
        <f t="shared" ca="1" si="0"/>
        <v>16</v>
      </c>
      <c r="G3" s="13">
        <f t="shared" ca="1" si="0"/>
        <v>16</v>
      </c>
      <c r="H3" s="13">
        <f t="shared" ca="1" si="0"/>
        <v>14</v>
      </c>
      <c r="I3" s="13">
        <f t="shared" ca="1" si="0"/>
        <v>14</v>
      </c>
      <c r="J3" s="13">
        <f t="shared" ca="1" si="0"/>
        <v>14</v>
      </c>
      <c r="K3" s="13">
        <f t="shared" ca="1" si="0"/>
        <v>14</v>
      </c>
      <c r="L3" s="13">
        <f t="shared" ca="1" si="0"/>
        <v>14</v>
      </c>
      <c r="M3" s="13">
        <f t="shared" ca="1" si="0"/>
        <v>14</v>
      </c>
      <c r="N3" s="13">
        <f t="shared" ca="1" si="0"/>
        <v>14</v>
      </c>
      <c r="O3" s="13">
        <f t="shared" ca="1" si="0"/>
        <v>14</v>
      </c>
      <c r="P3" s="13">
        <f t="shared" ca="1" si="0"/>
        <v>14</v>
      </c>
      <c r="Q3" s="3"/>
      <c r="R3" s="3"/>
    </row>
    <row r="4" spans="1:22" s="2" customFormat="1" ht="25.2" customHeight="1" x14ac:dyDescent="0.3">
      <c r="A4" s="9" t="s">
        <v>3</v>
      </c>
      <c r="B4" s="10" t="s">
        <v>15</v>
      </c>
      <c r="C4" s="10" t="s">
        <v>15</v>
      </c>
      <c r="D4" s="10" t="s">
        <v>15</v>
      </c>
      <c r="E4" s="13">
        <f t="shared" ca="1" si="0"/>
        <v>16</v>
      </c>
      <c r="F4" s="13">
        <f t="shared" ca="1" si="0"/>
        <v>16</v>
      </c>
      <c r="G4" s="13">
        <f t="shared" ca="1" si="0"/>
        <v>16</v>
      </c>
      <c r="H4" s="13">
        <f t="shared" ca="1" si="0"/>
        <v>14</v>
      </c>
      <c r="I4" s="13">
        <f t="shared" ca="1" si="0"/>
        <v>14</v>
      </c>
      <c r="J4" s="13">
        <f t="shared" ca="1" si="0"/>
        <v>14</v>
      </c>
      <c r="K4" s="13">
        <f t="shared" ca="1" si="0"/>
        <v>14</v>
      </c>
      <c r="L4" s="13">
        <f t="shared" ca="1" si="0"/>
        <v>14</v>
      </c>
      <c r="M4" s="13">
        <f t="shared" ca="1" si="0"/>
        <v>14</v>
      </c>
      <c r="N4" s="13">
        <f t="shared" ca="1" si="0"/>
        <v>14</v>
      </c>
      <c r="O4" s="13">
        <f t="shared" ca="1" si="0"/>
        <v>14</v>
      </c>
      <c r="P4" s="13">
        <f t="shared" ca="1" si="0"/>
        <v>14</v>
      </c>
      <c r="Q4" s="3"/>
      <c r="R4" s="3"/>
    </row>
    <row r="5" spans="1:22" s="2" customFormat="1" ht="25.2" customHeight="1" x14ac:dyDescent="0.3">
      <c r="A5" s="9" t="s">
        <v>4</v>
      </c>
      <c r="B5" s="10" t="s">
        <v>15</v>
      </c>
      <c r="C5" s="10" t="s">
        <v>15</v>
      </c>
      <c r="D5" s="10" t="s">
        <v>15</v>
      </c>
      <c r="E5" s="10" t="s">
        <v>15</v>
      </c>
      <c r="F5" s="13">
        <f t="shared" ca="1" si="0"/>
        <v>16</v>
      </c>
      <c r="G5" s="13">
        <f t="shared" ca="1" si="0"/>
        <v>16</v>
      </c>
      <c r="H5" s="13">
        <f t="shared" ca="1" si="0"/>
        <v>14</v>
      </c>
      <c r="I5" s="13">
        <f t="shared" ca="1" si="0"/>
        <v>14</v>
      </c>
      <c r="J5" s="13">
        <f t="shared" ca="1" si="0"/>
        <v>14</v>
      </c>
      <c r="K5" s="13">
        <f t="shared" ca="1" si="0"/>
        <v>14</v>
      </c>
      <c r="L5" s="13">
        <f t="shared" ca="1" si="0"/>
        <v>14</v>
      </c>
      <c r="M5" s="13">
        <f t="shared" ca="1" si="0"/>
        <v>14</v>
      </c>
      <c r="N5" s="13">
        <f t="shared" ca="1" si="0"/>
        <v>14</v>
      </c>
      <c r="O5" s="13">
        <f t="shared" ca="1" si="0"/>
        <v>14</v>
      </c>
      <c r="P5" s="13">
        <f t="shared" ca="1" si="0"/>
        <v>14</v>
      </c>
      <c r="Q5" s="3"/>
      <c r="R5" s="3"/>
    </row>
    <row r="6" spans="1:22" s="2" customFormat="1" ht="25.2" customHeight="1" x14ac:dyDescent="0.3">
      <c r="A6" s="9" t="s">
        <v>5</v>
      </c>
      <c r="B6" s="10" t="s">
        <v>15</v>
      </c>
      <c r="C6" s="10" t="s">
        <v>15</v>
      </c>
      <c r="D6" s="10" t="s">
        <v>15</v>
      </c>
      <c r="E6" s="10" t="s">
        <v>15</v>
      </c>
      <c r="F6" s="10" t="s">
        <v>15</v>
      </c>
      <c r="G6" s="13">
        <f t="shared" ca="1" si="0"/>
        <v>16</v>
      </c>
      <c r="H6" s="13">
        <f t="shared" ca="1" si="0"/>
        <v>14</v>
      </c>
      <c r="I6" s="13">
        <f t="shared" ca="1" si="0"/>
        <v>14</v>
      </c>
      <c r="J6" s="13">
        <f t="shared" ca="1" si="0"/>
        <v>14</v>
      </c>
      <c r="K6" s="13">
        <f t="shared" ca="1" si="0"/>
        <v>14</v>
      </c>
      <c r="L6" s="13">
        <f t="shared" ca="1" si="0"/>
        <v>14</v>
      </c>
      <c r="M6" s="13">
        <f t="shared" ca="1" si="0"/>
        <v>14</v>
      </c>
      <c r="N6" s="13">
        <f t="shared" ca="1" si="0"/>
        <v>14</v>
      </c>
      <c r="O6" s="13">
        <f t="shared" ca="1" si="0"/>
        <v>14</v>
      </c>
      <c r="P6" s="13">
        <f t="shared" ca="1" si="0"/>
        <v>14</v>
      </c>
      <c r="Q6" s="3"/>
      <c r="R6" s="3"/>
    </row>
    <row r="7" spans="1:22" s="2" customFormat="1" ht="25.2" customHeight="1" x14ac:dyDescent="0.3">
      <c r="A7" s="9" t="s">
        <v>6</v>
      </c>
      <c r="B7" s="10" t="s">
        <v>15</v>
      </c>
      <c r="C7" s="10" t="s">
        <v>15</v>
      </c>
      <c r="D7" s="10" t="s">
        <v>15</v>
      </c>
      <c r="E7" s="10" t="s">
        <v>15</v>
      </c>
      <c r="F7" s="10" t="s">
        <v>15</v>
      </c>
      <c r="G7" s="11" t="s">
        <v>15</v>
      </c>
      <c r="H7" s="13">
        <f t="shared" ca="1" si="0"/>
        <v>14</v>
      </c>
      <c r="I7" s="13">
        <f t="shared" ca="1" si="0"/>
        <v>14</v>
      </c>
      <c r="J7" s="13">
        <f t="shared" ca="1" si="0"/>
        <v>14</v>
      </c>
      <c r="K7" s="13">
        <f t="shared" ca="1" si="0"/>
        <v>14</v>
      </c>
      <c r="L7" s="13">
        <f t="shared" ca="1" si="0"/>
        <v>14</v>
      </c>
      <c r="M7" s="13">
        <f t="shared" ca="1" si="0"/>
        <v>14</v>
      </c>
      <c r="N7" s="13">
        <f t="shared" ca="1" si="0"/>
        <v>14</v>
      </c>
      <c r="O7" s="13">
        <f t="shared" ca="1" si="0"/>
        <v>14</v>
      </c>
      <c r="P7" s="13">
        <f t="shared" ca="1" si="0"/>
        <v>14</v>
      </c>
      <c r="Q7" s="3"/>
      <c r="R7" s="3"/>
    </row>
    <row r="8" spans="1:22" s="2" customFormat="1" ht="25.2" customHeight="1" x14ac:dyDescent="0.3">
      <c r="A8" s="9" t="s">
        <v>1</v>
      </c>
      <c r="B8" s="10" t="s">
        <v>15</v>
      </c>
      <c r="C8" s="10" t="s">
        <v>15</v>
      </c>
      <c r="D8" s="10" t="s">
        <v>15</v>
      </c>
      <c r="E8" s="10" t="s">
        <v>15</v>
      </c>
      <c r="F8" s="10" t="s">
        <v>15</v>
      </c>
      <c r="G8" s="10" t="s">
        <v>15</v>
      </c>
      <c r="H8" s="12" t="s">
        <v>15</v>
      </c>
      <c r="I8" s="13">
        <f t="shared" ca="1" si="0"/>
        <v>14</v>
      </c>
      <c r="J8" s="13">
        <f t="shared" ca="1" si="0"/>
        <v>14</v>
      </c>
      <c r="K8" s="13">
        <f t="shared" ca="1" si="0"/>
        <v>14</v>
      </c>
      <c r="L8" s="13">
        <f t="shared" ca="1" si="0"/>
        <v>14</v>
      </c>
      <c r="M8" s="13">
        <f t="shared" ca="1" si="0"/>
        <v>14</v>
      </c>
      <c r="N8" s="13">
        <f t="shared" ca="1" si="0"/>
        <v>14</v>
      </c>
      <c r="O8" s="13">
        <f t="shared" ca="1" si="0"/>
        <v>14</v>
      </c>
      <c r="P8" s="13">
        <f ca="1">MIN(COUNT(INDIRECT(P$1)),COUNT(INDIRECT($A8)))</f>
        <v>14</v>
      </c>
      <c r="Q8" s="3"/>
      <c r="R8" s="3"/>
    </row>
    <row r="9" spans="1:22" s="2" customFormat="1" ht="25.2" customHeight="1" x14ac:dyDescent="0.3">
      <c r="A9" s="9" t="s">
        <v>7</v>
      </c>
      <c r="B9" s="10" t="s">
        <v>15</v>
      </c>
      <c r="C9" s="10" t="s">
        <v>15</v>
      </c>
      <c r="D9" s="10" t="s">
        <v>15</v>
      </c>
      <c r="E9" s="10" t="s">
        <v>15</v>
      </c>
      <c r="F9" s="10" t="s">
        <v>15</v>
      </c>
      <c r="G9" s="10" t="s">
        <v>15</v>
      </c>
      <c r="H9" s="10" t="s">
        <v>15</v>
      </c>
      <c r="I9" s="10" t="s">
        <v>15</v>
      </c>
      <c r="J9" s="13">
        <f t="shared" ca="1" si="0"/>
        <v>14</v>
      </c>
      <c r="K9" s="13">
        <f t="shared" ca="1" si="0"/>
        <v>14</v>
      </c>
      <c r="L9" s="13">
        <f t="shared" ca="1" si="0"/>
        <v>14</v>
      </c>
      <c r="M9" s="13">
        <f t="shared" ca="1" si="0"/>
        <v>14</v>
      </c>
      <c r="N9" s="13">
        <f t="shared" ca="1" si="0"/>
        <v>14</v>
      </c>
      <c r="O9" s="13">
        <f t="shared" ca="1" si="0"/>
        <v>14</v>
      </c>
      <c r="P9" s="13">
        <f t="shared" ca="1" si="0"/>
        <v>14</v>
      </c>
      <c r="Q9" s="3"/>
      <c r="R9" s="3"/>
    </row>
    <row r="10" spans="1:22" s="2" customFormat="1" ht="25.2" customHeight="1" x14ac:dyDescent="0.3">
      <c r="A10" s="9" t="s">
        <v>8</v>
      </c>
      <c r="B10" s="10" t="s">
        <v>15</v>
      </c>
      <c r="C10" s="10" t="s">
        <v>15</v>
      </c>
      <c r="D10" s="10" t="s">
        <v>15</v>
      </c>
      <c r="E10" s="10" t="s">
        <v>15</v>
      </c>
      <c r="F10" s="10" t="s">
        <v>15</v>
      </c>
      <c r="G10" s="10" t="s">
        <v>15</v>
      </c>
      <c r="H10" s="10" t="s">
        <v>15</v>
      </c>
      <c r="I10" s="10" t="s">
        <v>15</v>
      </c>
      <c r="J10" s="10" t="s">
        <v>15</v>
      </c>
      <c r="K10" s="13">
        <f t="shared" ca="1" si="0"/>
        <v>14</v>
      </c>
      <c r="L10" s="13">
        <f t="shared" ca="1" si="0"/>
        <v>14</v>
      </c>
      <c r="M10" s="13">
        <f t="shared" ca="1" si="0"/>
        <v>14</v>
      </c>
      <c r="N10" s="13">
        <f t="shared" ca="1" si="0"/>
        <v>14</v>
      </c>
      <c r="O10" s="13">
        <f t="shared" ca="1" si="0"/>
        <v>14</v>
      </c>
      <c r="P10" s="13">
        <f t="shared" ca="1" si="0"/>
        <v>14</v>
      </c>
      <c r="Q10" s="3"/>
      <c r="V10" s="4" t="s">
        <v>16</v>
      </c>
    </row>
    <row r="11" spans="1:22" s="2" customFormat="1" ht="25.2" customHeight="1" x14ac:dyDescent="0.3">
      <c r="A11" s="9" t="s">
        <v>9</v>
      </c>
      <c r="B11" s="10" t="s">
        <v>15</v>
      </c>
      <c r="C11" s="10" t="s">
        <v>15</v>
      </c>
      <c r="D11" s="10" t="s">
        <v>15</v>
      </c>
      <c r="E11" s="10" t="s">
        <v>15</v>
      </c>
      <c r="F11" s="10" t="s">
        <v>15</v>
      </c>
      <c r="G11" s="10" t="s">
        <v>15</v>
      </c>
      <c r="H11" s="10" t="s">
        <v>15</v>
      </c>
      <c r="I11" s="10" t="s">
        <v>15</v>
      </c>
      <c r="J11" s="10" t="s">
        <v>15</v>
      </c>
      <c r="K11" s="10" t="s">
        <v>15</v>
      </c>
      <c r="L11" s="13">
        <f t="shared" ca="1" si="0"/>
        <v>14</v>
      </c>
      <c r="M11" s="13">
        <f t="shared" ca="1" si="0"/>
        <v>14</v>
      </c>
      <c r="N11" s="13">
        <f t="shared" ca="1" si="0"/>
        <v>14</v>
      </c>
      <c r="O11" s="13">
        <f t="shared" ca="1" si="0"/>
        <v>14</v>
      </c>
      <c r="P11" s="13">
        <f t="shared" ca="1" si="0"/>
        <v>14</v>
      </c>
      <c r="Q11" s="3"/>
      <c r="R11" s="3"/>
    </row>
    <row r="12" spans="1:22" s="2" customFormat="1" ht="25.2" customHeight="1" x14ac:dyDescent="0.3">
      <c r="A12" s="9" t="s">
        <v>10</v>
      </c>
      <c r="B12" s="10" t="s">
        <v>15</v>
      </c>
      <c r="C12" s="10" t="s">
        <v>15</v>
      </c>
      <c r="D12" s="10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13">
        <f t="shared" ca="1" si="0"/>
        <v>14</v>
      </c>
      <c r="N12" s="13">
        <f t="shared" ca="1" si="0"/>
        <v>14</v>
      </c>
      <c r="O12" s="13">
        <f t="shared" ca="1" si="0"/>
        <v>14</v>
      </c>
      <c r="P12" s="13">
        <f t="shared" ca="1" si="0"/>
        <v>14</v>
      </c>
      <c r="Q12" s="3"/>
      <c r="R12" s="3"/>
    </row>
    <row r="13" spans="1:22" s="2" customFormat="1" ht="25.2" customHeight="1" x14ac:dyDescent="0.3">
      <c r="A13" s="9" t="s">
        <v>11</v>
      </c>
      <c r="B13" s="10" t="s">
        <v>15</v>
      </c>
      <c r="C13" s="10" t="s">
        <v>15</v>
      </c>
      <c r="D13" s="10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13">
        <f t="shared" ca="1" si="0"/>
        <v>14</v>
      </c>
      <c r="O13" s="13">
        <f t="shared" ca="1" si="0"/>
        <v>14</v>
      </c>
      <c r="P13" s="13">
        <f t="shared" ca="1" si="0"/>
        <v>14</v>
      </c>
      <c r="Q13" s="3"/>
      <c r="R13" s="3"/>
    </row>
    <row r="14" spans="1:22" s="2" customFormat="1" ht="25.2" customHeight="1" x14ac:dyDescent="0.3">
      <c r="A14" s="9" t="s">
        <v>12</v>
      </c>
      <c r="B14" s="10" t="s">
        <v>15</v>
      </c>
      <c r="C14" s="10" t="s">
        <v>15</v>
      </c>
      <c r="D14" s="10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3">
        <f t="shared" ca="1" si="0"/>
        <v>14</v>
      </c>
      <c r="P14" s="13">
        <f t="shared" ca="1" si="0"/>
        <v>14</v>
      </c>
      <c r="Q14" s="3"/>
      <c r="R14" s="3"/>
    </row>
    <row r="15" spans="1:22" s="2" customFormat="1" ht="25.2" customHeight="1" x14ac:dyDescent="0.3">
      <c r="A15" s="9" t="s">
        <v>14</v>
      </c>
      <c r="B15" s="10" t="s">
        <v>15</v>
      </c>
      <c r="C15" s="10" t="s">
        <v>15</v>
      </c>
      <c r="D15" s="10" t="s">
        <v>15</v>
      </c>
      <c r="E15" s="10" t="s">
        <v>15</v>
      </c>
      <c r="F15" s="10" t="s">
        <v>15</v>
      </c>
      <c r="G15" s="10" t="s">
        <v>15</v>
      </c>
      <c r="H15" s="10" t="s">
        <v>15</v>
      </c>
      <c r="I15" s="10" t="s">
        <v>15</v>
      </c>
      <c r="J15" s="10" t="s">
        <v>15</v>
      </c>
      <c r="K15" s="10" t="s">
        <v>15</v>
      </c>
      <c r="L15" s="10" t="s">
        <v>15</v>
      </c>
      <c r="M15" s="10" t="s">
        <v>15</v>
      </c>
      <c r="N15" s="10" t="s">
        <v>15</v>
      </c>
      <c r="O15" s="10" t="s">
        <v>15</v>
      </c>
      <c r="P15" s="13">
        <f t="shared" ca="1" si="0"/>
        <v>14</v>
      </c>
      <c r="Q15" s="3"/>
      <c r="R15" s="3"/>
    </row>
    <row r="16" spans="1:22" s="2" customFormat="1" ht="25.2" customHeight="1" x14ac:dyDescent="0.3">
      <c r="A16" s="9" t="s">
        <v>13</v>
      </c>
      <c r="B16" s="10" t="s">
        <v>15</v>
      </c>
      <c r="C16" s="10" t="s">
        <v>15</v>
      </c>
      <c r="D16" s="10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3"/>
      <c r="R16" s="3"/>
    </row>
  </sheetData>
  <pageMargins left="0.7" right="0.7" top="0.75" bottom="0.75" header="0.3" footer="0.3"/>
  <pageSetup paperSize="9" orientation="portrait" horizontalDpi="4294967294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BC13-4FF6-4BAB-889E-1E7FFC1F92D7}">
  <sheetPr codeName="Blad4"/>
  <dimension ref="A1:V16"/>
  <sheetViews>
    <sheetView topLeftCell="E1" zoomScale="80" zoomScaleNormal="80" workbookViewId="0">
      <selection activeCell="O10" sqref="K10:O11"/>
    </sheetView>
  </sheetViews>
  <sheetFormatPr defaultRowHeight="14.4" x14ac:dyDescent="0.3"/>
  <cols>
    <col min="1" max="1" width="38.88671875" style="5" customWidth="1"/>
    <col min="2" max="16" width="22.109375" customWidth="1"/>
    <col min="20" max="20" width="52.6640625" customWidth="1"/>
  </cols>
  <sheetData>
    <row r="1" spans="1:22" ht="201.6" x14ac:dyDescent="0.4">
      <c r="A1" s="6"/>
      <c r="B1" s="7" t="s">
        <v>0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1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7" t="s">
        <v>14</v>
      </c>
      <c r="P1" s="7" t="s">
        <v>13</v>
      </c>
    </row>
    <row r="2" spans="1:22" s="2" customFormat="1" ht="25.2" customHeight="1" x14ac:dyDescent="0.3">
      <c r="A2" s="9" t="s">
        <v>0</v>
      </c>
      <c r="B2" s="10" t="s">
        <v>15</v>
      </c>
      <c r="C2" s="13" t="s">
        <v>17</v>
      </c>
      <c r="D2" s="13" t="s">
        <v>18</v>
      </c>
      <c r="E2" s="13" t="s">
        <v>17</v>
      </c>
      <c r="F2" s="13" t="s">
        <v>19</v>
      </c>
      <c r="G2" s="13" t="s">
        <v>20</v>
      </c>
      <c r="H2" s="13" t="s">
        <v>21</v>
      </c>
      <c r="I2" s="13" t="s">
        <v>22</v>
      </c>
      <c r="J2" s="13" t="s">
        <v>23</v>
      </c>
      <c r="K2" s="13" t="s">
        <v>24</v>
      </c>
      <c r="L2" s="13" t="s">
        <v>25</v>
      </c>
      <c r="M2" s="13" t="s">
        <v>26</v>
      </c>
      <c r="N2" s="13" t="s">
        <v>27</v>
      </c>
      <c r="O2" s="13" t="s">
        <v>24</v>
      </c>
      <c r="P2" s="13" t="s">
        <v>34</v>
      </c>
      <c r="Q2" s="3"/>
      <c r="R2" s="3"/>
      <c r="S2" s="3"/>
    </row>
    <row r="3" spans="1:22" s="2" customFormat="1" ht="25.2" customHeight="1" x14ac:dyDescent="0.3">
      <c r="A3" s="9" t="s">
        <v>2</v>
      </c>
      <c r="B3" s="10" t="s">
        <v>15</v>
      </c>
      <c r="C3" s="10" t="s">
        <v>15</v>
      </c>
      <c r="D3" s="13" t="s">
        <v>28</v>
      </c>
      <c r="E3" s="13" t="s">
        <v>29</v>
      </c>
      <c r="F3" s="13" t="s">
        <v>19</v>
      </c>
      <c r="G3" s="13" t="s">
        <v>30</v>
      </c>
      <c r="H3" s="13" t="s">
        <v>25</v>
      </c>
      <c r="I3" s="13" t="s">
        <v>31</v>
      </c>
      <c r="J3" s="13" t="s">
        <v>32</v>
      </c>
      <c r="K3" s="13" t="s">
        <v>39</v>
      </c>
      <c r="L3" s="13" t="s">
        <v>38</v>
      </c>
      <c r="M3" s="13" t="s">
        <v>37</v>
      </c>
      <c r="N3" s="13" t="s">
        <v>36</v>
      </c>
      <c r="O3" s="13" t="s">
        <v>35</v>
      </c>
      <c r="P3" s="13" t="s">
        <v>33</v>
      </c>
      <c r="Q3" s="3"/>
      <c r="R3" s="3"/>
    </row>
    <row r="4" spans="1:22" s="2" customFormat="1" ht="25.2" customHeight="1" x14ac:dyDescent="0.3">
      <c r="A4" s="9" t="s">
        <v>3</v>
      </c>
      <c r="B4" s="10" t="s">
        <v>15</v>
      </c>
      <c r="C4" s="10" t="s">
        <v>15</v>
      </c>
      <c r="D4" s="10" t="s">
        <v>15</v>
      </c>
      <c r="E4" s="13" t="s">
        <v>40</v>
      </c>
      <c r="F4" s="13" t="s">
        <v>41</v>
      </c>
      <c r="G4" s="13" t="s">
        <v>42</v>
      </c>
      <c r="H4" s="13" t="s">
        <v>43</v>
      </c>
      <c r="I4" s="13" t="s">
        <v>44</v>
      </c>
      <c r="J4" s="13" t="s">
        <v>45</v>
      </c>
      <c r="K4" s="13" t="s">
        <v>46</v>
      </c>
      <c r="L4" s="13" t="s">
        <v>47</v>
      </c>
      <c r="M4" s="13" t="s">
        <v>48</v>
      </c>
      <c r="N4" s="13" t="s">
        <v>49</v>
      </c>
      <c r="O4" s="13" t="s">
        <v>50</v>
      </c>
      <c r="P4" s="13" t="s">
        <v>51</v>
      </c>
      <c r="Q4" s="3"/>
      <c r="R4" s="3"/>
    </row>
    <row r="5" spans="1:22" s="2" customFormat="1" ht="25.2" customHeight="1" x14ac:dyDescent="0.3">
      <c r="A5" s="9" t="s">
        <v>4</v>
      </c>
      <c r="B5" s="10" t="s">
        <v>15</v>
      </c>
      <c r="C5" s="10" t="s">
        <v>15</v>
      </c>
      <c r="D5" s="10" t="s">
        <v>15</v>
      </c>
      <c r="E5" s="10" t="s">
        <v>15</v>
      </c>
      <c r="F5" s="13" t="s">
        <v>71</v>
      </c>
      <c r="G5" s="14" t="s">
        <v>72</v>
      </c>
      <c r="H5" s="13" t="s">
        <v>37</v>
      </c>
      <c r="I5" s="13" t="s">
        <v>73</v>
      </c>
      <c r="J5" s="13" t="s">
        <v>74</v>
      </c>
      <c r="K5" s="13" t="s">
        <v>66</v>
      </c>
      <c r="L5" s="13" t="s">
        <v>70</v>
      </c>
      <c r="M5" s="13" t="s">
        <v>69</v>
      </c>
      <c r="N5" s="13" t="s">
        <v>68</v>
      </c>
      <c r="O5" s="13" t="s">
        <v>67</v>
      </c>
      <c r="P5" s="13" t="s">
        <v>39</v>
      </c>
      <c r="Q5" s="3"/>
      <c r="R5" s="3"/>
    </row>
    <row r="6" spans="1:22" s="2" customFormat="1" ht="25.2" customHeight="1" x14ac:dyDescent="0.3">
      <c r="A6" s="9" t="s">
        <v>5</v>
      </c>
      <c r="B6" s="10" t="s">
        <v>15</v>
      </c>
      <c r="C6" s="10" t="s">
        <v>15</v>
      </c>
      <c r="D6" s="10" t="s">
        <v>15</v>
      </c>
      <c r="E6" s="10" t="s">
        <v>15</v>
      </c>
      <c r="F6" s="10" t="s">
        <v>15</v>
      </c>
      <c r="G6" s="14" t="s">
        <v>75</v>
      </c>
      <c r="H6" s="13" t="s">
        <v>76</v>
      </c>
      <c r="I6" s="13" t="s">
        <v>77</v>
      </c>
      <c r="J6" s="13" t="s">
        <v>78</v>
      </c>
      <c r="K6" s="13" t="s">
        <v>24</v>
      </c>
      <c r="L6" s="13" t="s">
        <v>70</v>
      </c>
      <c r="M6" s="13" t="s">
        <v>78</v>
      </c>
      <c r="N6" s="13" t="s">
        <v>37</v>
      </c>
      <c r="O6" s="13" t="s">
        <v>66</v>
      </c>
      <c r="P6" s="13" t="s">
        <v>37</v>
      </c>
      <c r="Q6" s="3"/>
      <c r="R6" s="3"/>
    </row>
    <row r="7" spans="1:22" s="2" customFormat="1" ht="25.2" customHeight="1" x14ac:dyDescent="0.3">
      <c r="A7" s="9" t="s">
        <v>6</v>
      </c>
      <c r="B7" s="10" t="s">
        <v>15</v>
      </c>
      <c r="C7" s="10" t="s">
        <v>15</v>
      </c>
      <c r="D7" s="10" t="s">
        <v>15</v>
      </c>
      <c r="E7" s="10" t="s">
        <v>15</v>
      </c>
      <c r="F7" s="10" t="s">
        <v>15</v>
      </c>
      <c r="G7" s="11" t="s">
        <v>15</v>
      </c>
      <c r="H7" s="13" t="s">
        <v>79</v>
      </c>
      <c r="I7" s="13" t="s">
        <v>23</v>
      </c>
      <c r="J7" s="13" t="s">
        <v>87</v>
      </c>
      <c r="K7" s="13" t="s">
        <v>79</v>
      </c>
      <c r="L7" s="13" t="s">
        <v>84</v>
      </c>
      <c r="M7" s="13" t="s">
        <v>69</v>
      </c>
      <c r="N7" s="13" t="s">
        <v>73</v>
      </c>
      <c r="O7" s="13" t="s">
        <v>54</v>
      </c>
      <c r="P7" s="13" t="s">
        <v>52</v>
      </c>
      <c r="Q7" s="3"/>
      <c r="R7" s="3"/>
    </row>
    <row r="8" spans="1:22" s="2" customFormat="1" ht="25.2" customHeight="1" x14ac:dyDescent="0.3">
      <c r="A8" s="9" t="s">
        <v>1</v>
      </c>
      <c r="B8" s="10" t="s">
        <v>15</v>
      </c>
      <c r="C8" s="10" t="s">
        <v>15</v>
      </c>
      <c r="D8" s="10" t="s">
        <v>15</v>
      </c>
      <c r="E8" s="10" t="s">
        <v>15</v>
      </c>
      <c r="F8" s="10" t="s">
        <v>15</v>
      </c>
      <c r="G8" s="10" t="s">
        <v>15</v>
      </c>
      <c r="H8" s="12" t="s">
        <v>15</v>
      </c>
      <c r="I8" s="13" t="s">
        <v>69</v>
      </c>
      <c r="J8" s="14" t="s">
        <v>88</v>
      </c>
      <c r="K8" s="13" t="s">
        <v>50</v>
      </c>
      <c r="L8" s="13" t="s">
        <v>37</v>
      </c>
      <c r="M8" s="13" t="s">
        <v>83</v>
      </c>
      <c r="N8" s="13" t="s">
        <v>79</v>
      </c>
      <c r="O8" s="14" t="s">
        <v>65</v>
      </c>
      <c r="P8" s="13" t="s">
        <v>37</v>
      </c>
      <c r="Q8" s="3"/>
      <c r="R8" s="3"/>
    </row>
    <row r="9" spans="1:22" s="2" customFormat="1" ht="25.2" customHeight="1" x14ac:dyDescent="0.3">
      <c r="A9" s="9" t="s">
        <v>7</v>
      </c>
      <c r="B9" s="10" t="s">
        <v>15</v>
      </c>
      <c r="C9" s="10" t="s">
        <v>15</v>
      </c>
      <c r="D9" s="10" t="s">
        <v>15</v>
      </c>
      <c r="E9" s="10" t="s">
        <v>15</v>
      </c>
      <c r="F9" s="10" t="s">
        <v>15</v>
      </c>
      <c r="G9" s="10" t="s">
        <v>15</v>
      </c>
      <c r="H9" s="10" t="s">
        <v>15</v>
      </c>
      <c r="I9" s="10" t="s">
        <v>15</v>
      </c>
      <c r="J9" s="13" t="s">
        <v>89</v>
      </c>
      <c r="K9" s="13" t="s">
        <v>21</v>
      </c>
      <c r="L9" s="13" t="s">
        <v>85</v>
      </c>
      <c r="M9" s="13" t="s">
        <v>32</v>
      </c>
      <c r="N9" s="13" t="s">
        <v>80</v>
      </c>
      <c r="O9" s="13" t="s">
        <v>64</v>
      </c>
      <c r="P9" s="13" t="s">
        <v>53</v>
      </c>
      <c r="Q9" s="3"/>
      <c r="R9" s="3"/>
    </row>
    <row r="10" spans="1:22" s="2" customFormat="1" ht="25.2" customHeight="1" x14ac:dyDescent="0.3">
      <c r="A10" s="9" t="s">
        <v>8</v>
      </c>
      <c r="B10" s="10" t="s">
        <v>15</v>
      </c>
      <c r="C10" s="10" t="s">
        <v>15</v>
      </c>
      <c r="D10" s="10" t="s">
        <v>15</v>
      </c>
      <c r="E10" s="10" t="s">
        <v>15</v>
      </c>
      <c r="F10" s="10" t="s">
        <v>15</v>
      </c>
      <c r="G10" s="10" t="s">
        <v>15</v>
      </c>
      <c r="H10" s="10" t="s">
        <v>15</v>
      </c>
      <c r="I10" s="10" t="s">
        <v>15</v>
      </c>
      <c r="J10" s="10" t="s">
        <v>15</v>
      </c>
      <c r="K10" s="13" t="s">
        <v>38</v>
      </c>
      <c r="L10" s="13" t="s">
        <v>50</v>
      </c>
      <c r="M10" s="13" t="s">
        <v>45</v>
      </c>
      <c r="N10" s="13" t="s">
        <v>81</v>
      </c>
      <c r="O10" s="15" t="s">
        <v>63</v>
      </c>
      <c r="P10" s="13" t="s">
        <v>54</v>
      </c>
      <c r="Q10" s="3"/>
      <c r="V10" s="4" t="s">
        <v>16</v>
      </c>
    </row>
    <row r="11" spans="1:22" s="2" customFormat="1" ht="25.2" customHeight="1" x14ac:dyDescent="0.3">
      <c r="A11" s="9" t="s">
        <v>9</v>
      </c>
      <c r="B11" s="10" t="s">
        <v>15</v>
      </c>
      <c r="C11" s="10" t="s">
        <v>15</v>
      </c>
      <c r="D11" s="10" t="s">
        <v>15</v>
      </c>
      <c r="E11" s="10" t="s">
        <v>15</v>
      </c>
      <c r="F11" s="10" t="s">
        <v>15</v>
      </c>
      <c r="G11" s="10" t="s">
        <v>15</v>
      </c>
      <c r="H11" s="10" t="s">
        <v>15</v>
      </c>
      <c r="I11" s="10" t="s">
        <v>15</v>
      </c>
      <c r="J11" s="10" t="s">
        <v>15</v>
      </c>
      <c r="K11" s="10" t="s">
        <v>15</v>
      </c>
      <c r="L11" s="13" t="s">
        <v>86</v>
      </c>
      <c r="M11" s="13" t="s">
        <v>54</v>
      </c>
      <c r="N11" s="13" t="s">
        <v>59</v>
      </c>
      <c r="O11" s="13" t="s">
        <v>55</v>
      </c>
      <c r="P11" s="13" t="s">
        <v>55</v>
      </c>
      <c r="Q11" s="3"/>
      <c r="R11" s="3"/>
    </row>
    <row r="12" spans="1:22" s="2" customFormat="1" ht="25.2" customHeight="1" x14ac:dyDescent="0.3">
      <c r="A12" s="9" t="s">
        <v>10</v>
      </c>
      <c r="B12" s="10" t="s">
        <v>15</v>
      </c>
      <c r="C12" s="10" t="s">
        <v>15</v>
      </c>
      <c r="D12" s="10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13" t="s">
        <v>74</v>
      </c>
      <c r="N12" s="13" t="s">
        <v>82</v>
      </c>
      <c r="O12" s="13" t="s">
        <v>62</v>
      </c>
      <c r="P12" s="13" t="s">
        <v>56</v>
      </c>
      <c r="Q12" s="3"/>
      <c r="R12" s="3"/>
    </row>
    <row r="13" spans="1:22" s="2" customFormat="1" ht="25.2" customHeight="1" x14ac:dyDescent="0.3">
      <c r="A13" s="9" t="s">
        <v>11</v>
      </c>
      <c r="B13" s="10" t="s">
        <v>15</v>
      </c>
      <c r="C13" s="10" t="s">
        <v>15</v>
      </c>
      <c r="D13" s="10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13" t="s">
        <v>81</v>
      </c>
      <c r="O13" s="13" t="s">
        <v>61</v>
      </c>
      <c r="P13" s="13" t="s">
        <v>57</v>
      </c>
      <c r="Q13" s="3"/>
      <c r="R13" s="3"/>
    </row>
    <row r="14" spans="1:22" s="2" customFormat="1" ht="25.2" customHeight="1" x14ac:dyDescent="0.3">
      <c r="A14" s="9" t="s">
        <v>12</v>
      </c>
      <c r="B14" s="10" t="s">
        <v>15</v>
      </c>
      <c r="C14" s="10" t="s">
        <v>15</v>
      </c>
      <c r="D14" s="10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3" t="s">
        <v>60</v>
      </c>
      <c r="P14" s="13" t="s">
        <v>59</v>
      </c>
      <c r="Q14" s="3"/>
      <c r="R14" s="3"/>
    </row>
    <row r="15" spans="1:22" s="2" customFormat="1" ht="25.2" customHeight="1" x14ac:dyDescent="0.3">
      <c r="A15" s="9" t="s">
        <v>14</v>
      </c>
      <c r="B15" s="10" t="s">
        <v>15</v>
      </c>
      <c r="C15" s="10" t="s">
        <v>15</v>
      </c>
      <c r="D15" s="10" t="s">
        <v>15</v>
      </c>
      <c r="E15" s="10" t="s">
        <v>15</v>
      </c>
      <c r="F15" s="10" t="s">
        <v>15</v>
      </c>
      <c r="G15" s="10" t="s">
        <v>15</v>
      </c>
      <c r="H15" s="10" t="s">
        <v>15</v>
      </c>
      <c r="I15" s="10" t="s">
        <v>15</v>
      </c>
      <c r="J15" s="10" t="s">
        <v>15</v>
      </c>
      <c r="K15" s="10" t="s">
        <v>15</v>
      </c>
      <c r="L15" s="10" t="s">
        <v>15</v>
      </c>
      <c r="M15" s="10" t="s">
        <v>15</v>
      </c>
      <c r="N15" s="10" t="s">
        <v>15</v>
      </c>
      <c r="O15" s="10" t="s">
        <v>15</v>
      </c>
      <c r="P15" s="13" t="s">
        <v>58</v>
      </c>
      <c r="Q15" s="3"/>
      <c r="R15" s="3"/>
    </row>
    <row r="16" spans="1:22" s="2" customFormat="1" ht="25.2" customHeight="1" x14ac:dyDescent="0.3">
      <c r="A16" s="9" t="s">
        <v>13</v>
      </c>
      <c r="B16" s="10" t="s">
        <v>15</v>
      </c>
      <c r="C16" s="10" t="s">
        <v>15</v>
      </c>
      <c r="D16" s="10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3"/>
      <c r="R16" s="3"/>
    </row>
  </sheetData>
  <pageMargins left="0.7" right="0.7" top="0.75" bottom="0.75" header="0.3" footer="0.3"/>
  <pageSetup paperSize="9" orientation="portrait" horizontalDpi="4294967294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9F4F6ABB567045B93F1D0C638A57F9" ma:contentTypeVersion="14" ma:contentTypeDescription="Een nieuw document maken." ma:contentTypeScope="" ma:versionID="618a17aee6fe21829d83342cfb0aeda2">
  <xsd:schema xmlns:xsd="http://www.w3.org/2001/XMLSchema" xmlns:xs="http://www.w3.org/2001/XMLSchema" xmlns:p="http://schemas.microsoft.com/office/2006/metadata/properties" xmlns:ns2="0e881998-9419-4d13-b84d-721ac971c709" xmlns:ns3="d6a03bd9-b31b-493a-b31e-bb4432e88c75" targetNamespace="http://schemas.microsoft.com/office/2006/metadata/properties" ma:root="true" ma:fieldsID="f381c43000bb8a88d8a6b5bfc4c73959" ns2:_="" ns3:_="">
    <xsd:import namespace="0e881998-9419-4d13-b84d-721ac971c709"/>
    <xsd:import namespace="d6a03bd9-b31b-493a-b31e-bb4432e88c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881998-9419-4d13-b84d-721ac971c7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Afbeeldingtags" ma:readOnly="false" ma:fieldId="{5cf76f15-5ced-4ddc-b409-7134ff3c332f}" ma:taxonomyMulti="true" ma:sspId="5eaa6d45-cff0-4e56-a5c8-0425e41e0f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a03bd9-b31b-493a-b31e-bb4432e88c75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8e1fa4af-7bd6-40f1-95bc-3c1c2580a70b}" ma:internalName="TaxCatchAll" ma:showField="CatchAllData" ma:web="d6a03bd9-b31b-493a-b31e-bb4432e88c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6a03bd9-b31b-493a-b31e-bb4432e88c75" xsi:nil="true"/>
    <lcf76f155ced4ddcb4097134ff3c332f xmlns="0e881998-9419-4d13-b84d-721ac971c70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B6227E0-5129-492F-99B8-BFB34321DD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881998-9419-4d13-b84d-721ac971c709"/>
    <ds:schemaRef ds:uri="d6a03bd9-b31b-493a-b31e-bb4432e88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62DFA-AE27-4679-9A54-D2BAE2FCB7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2B178F-D912-427E-A629-E571B612A48F}">
  <ds:schemaRefs>
    <ds:schemaRef ds:uri="http://schemas.microsoft.com/office/2006/metadata/properties"/>
    <ds:schemaRef ds:uri="http://schemas.microsoft.com/office/infopath/2007/PartnerControls"/>
    <ds:schemaRef ds:uri="d6a03bd9-b31b-493a-b31e-bb4432e88c75"/>
    <ds:schemaRef ds:uri="0e881998-9419-4d13-b84d-721ac971c70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15</vt:i4>
      </vt:variant>
    </vt:vector>
  </HeadingPairs>
  <TitlesOfParts>
    <vt:vector size="19" baseType="lpstr">
      <vt:lpstr>The Data</vt:lpstr>
      <vt:lpstr>Overall Correlations</vt:lpstr>
      <vt:lpstr>Sample Sizes</vt:lpstr>
      <vt:lpstr>CIs</vt:lpstr>
      <vt:lpstr>bad_instructions</vt:lpstr>
      <vt:lpstr>behavior_lane_position</vt:lpstr>
      <vt:lpstr>behavior_less_speed</vt:lpstr>
      <vt:lpstr>behavior_more_speed</vt:lpstr>
      <vt:lpstr>behavior_operating_errors</vt:lpstr>
      <vt:lpstr>behavior_reaction_time</vt:lpstr>
      <vt:lpstr>behavior_speed_control</vt:lpstr>
      <vt:lpstr>behavior_wrong_turns</vt:lpstr>
      <vt:lpstr>distraction_awareness</vt:lpstr>
      <vt:lpstr>distraction_glance_duration</vt:lpstr>
      <vt:lpstr>distraction_glance_frequency</vt:lpstr>
      <vt:lpstr>distraction_manual</vt:lpstr>
      <vt:lpstr>distraction_mental_load</vt:lpstr>
      <vt:lpstr>distraction_shift_focus</vt:lpstr>
      <vt:lpstr>interruptions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Johnston</dc:creator>
  <cp:lastModifiedBy>Lucas Johnston</cp:lastModifiedBy>
  <dcterms:created xsi:type="dcterms:W3CDTF">2023-06-27T13:36:26Z</dcterms:created>
  <dcterms:modified xsi:type="dcterms:W3CDTF">2023-07-31T15:24:32Z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0x0101004C9F4F6ABB567045B93F1D0C638A57F9</vt:lpwstr>
  </property>
  <property fmtid="{D5CDD505-2E9C-101B-9397-08002B2CF9AE}" pid="3" name="MediaServiceImageTags">
    <vt:lpwstr/>
  </property>
</Properties>
</file>